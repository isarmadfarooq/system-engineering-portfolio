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ystem-engineering-portfolio\Activity 1\"/>
    </mc:Choice>
  </mc:AlternateContent>
  <bookViews>
    <workbookView xWindow="0" yWindow="0" windowWidth="20490" windowHeight="7755" tabRatio="500"/>
  </bookViews>
  <sheets>
    <sheet name="Technical Specifications" sheetId="1" r:id="rId1"/>
    <sheet name="Scope, Support &amp; Warranty" sheetId="2" r:id="rId2"/>
    <sheet name="Review Notes" sheetId="3" r:id="rId3"/>
  </sheets>
  <definedNames>
    <definedName name="_xlnm.Print_Titles" localSheetId="1">'Scope, Support &amp; Warranty'!$7:$7</definedName>
    <definedName name="_xlnm.Print_Titles" localSheetId="0">'Technical Specifications'!$7:$7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" i="2" l="1"/>
  <c r="K7" i="2"/>
  <c r="K6" i="2"/>
  <c r="K10" i="2" s="1"/>
  <c r="K8" i="1"/>
  <c r="K7" i="1"/>
  <c r="K6" i="1"/>
  <c r="K10" i="1" s="1"/>
  <c r="K9" i="1" l="1"/>
  <c r="K9" i="2"/>
</calcChain>
</file>

<file path=xl/sharedStrings.xml><?xml version="1.0" encoding="utf-8"?>
<sst xmlns="http://schemas.openxmlformats.org/spreadsheetml/2006/main" count="434" uniqueCount="337">
  <si>
    <t>Compliance Sheet – Technical Specifications (Rack Mount Servers)</t>
  </si>
  <si>
    <t>Item: RACK MOUNT SERVERS (along with all allied accessories and installation) | UNSPSC: Computer server | Source: RFP Items/Lot Specification &amp; Server Specifications</t>
  </si>
  <si>
    <t>How to fill: complete the yellow cells only (Offered Specification, Compliance dropdown, Reference, Remarks). Attach OEM datasheets/brochures as evidence. Full (100%) compliance is required – a single non-compliant line scores zero for the 40-mark Technical Compliance criterion.</t>
  </si>
  <si>
    <t>Summary</t>
  </si>
  <si>
    <t>Total requirements</t>
  </si>
  <si>
    <t>Sr #</t>
  </si>
  <si>
    <t>Category</t>
  </si>
  <si>
    <t>Requirement per RFP (Buyer Specification)</t>
  </si>
  <si>
    <t>Required Value / Detail</t>
  </si>
  <si>
    <t>Bidder's Offered Specification</t>
  </si>
  <si>
    <t>Compliance (Yes / No)</t>
  </si>
  <si>
    <t>Datasheet / Document Reference (File &amp; Page)</t>
  </si>
  <si>
    <t>Remarks / Deviation</t>
  </si>
  <si>
    <t>Compliant (Yes)</t>
  </si>
  <si>
    <t>Ex.</t>
  </si>
  <si>
    <t>Example</t>
  </si>
  <si>
    <t>Example: Memory type</t>
  </si>
  <si>
    <t>Example: 1TB DDR5 ECC</t>
  </si>
  <si>
    <t>Example: 1TB (16 x 64GB) DDR5-5600 ECC RDIMM, dual rank</t>
  </si>
  <si>
    <t>Yes</t>
  </si>
  <si>
    <t>Datasheet.pdf, p.12</t>
  </si>
  <si>
    <t>Example row – delete before submission</t>
  </si>
  <si>
    <t>Non-compliant (No)</t>
  </si>
  <si>
    <t>1. Processor</t>
  </si>
  <si>
    <t>Pending (blank)</t>
  </si>
  <si>
    <t>Processor</t>
  </si>
  <si>
    <t>Processor model</t>
  </si>
  <si>
    <t>2 x Intel® Xeon® Gold 65xxY+ Processor</t>
  </si>
  <si>
    <t>2 x Intel Xeon 6530P per server (4 CPUs total, P74571-B21): Xeon 6 P-core, 32 cores, 2.3 GHz, 144 MB L3, 225 W.</t>
  </si>
  <si>
    <t>No</t>
  </si>
  <si>
    <t>DL380 Gen12 QuickSpecs.pdf, p.14 &amp; p.32; PRALP_73_2026 BOM P74571-B21</t>
  </si>
  <si>
    <t>DEVIATION: RFP names Xeon Gold 65xxY+. The DL380 Gen12 lists only Xeon 6 processors (p.13-14); no Gold 65xxY+ option exists on this platform. Offered CPU is a newer-generation part with the same core count. Raise a pre-bid clarification with PRAL asking them to accept equal-or-higher Xeon 6, or consider a different server generation (not covered by the provided files).</t>
  </si>
  <si>
    <t>Compliance %</t>
  </si>
  <si>
    <t>Cache</t>
  </si>
  <si>
    <t>60 MB Cache</t>
  </si>
  <si>
    <t>144 MB L3 cache per processor (Xeon 6530P)</t>
  </si>
  <si>
    <t>DL380 Gen12 QuickSpecs.pdf, p.14</t>
  </si>
  <si>
    <t>Exceeds the 60 MB requirement.</t>
  </si>
  <si>
    <t>Cores (per processor)</t>
  </si>
  <si>
    <t>32 cores</t>
  </si>
  <si>
    <t>32 cores per processor</t>
  </si>
  <si>
    <t>DL380 Gen12 QuickSpecs.pdf, p.14 &amp; p.32</t>
  </si>
  <si>
    <t>Matches.</t>
  </si>
  <si>
    <t>Total cores</t>
  </si>
  <si>
    <t>64 (2 x 32)</t>
  </si>
  <si>
    <t>64 cores per server (2 x 32)</t>
  </si>
  <si>
    <t>DL380 Gen12 QuickSpecs.pdf, p.14; PRALP_73_2026 BOM (4 CPUs / 2 servers)</t>
  </si>
  <si>
    <t>Clock speed</t>
  </si>
  <si>
    <t>2.1 GHz – 3.1 GHz</t>
  </si>
  <si>
    <t>2.3 GHz base frequency</t>
  </si>
  <si>
    <t>Base clock lies within 2.1-3.1 GHz. Max turbo is not listed in the QuickSpecs; attach the Intel ARK page for Xeon 6530P to evidence the upper range.</t>
  </si>
  <si>
    <t>TDP</t>
  </si>
  <si>
    <t>250 W</t>
  </si>
  <si>
    <t>225 W TDP (Xeon 6530P)</t>
  </si>
  <si>
    <t>DEVIATION: 225 W offered vs 250 W required. Lower power draw but not an exact match. Xeon 6730P (32 cores, 2.5 GHz, 250 W, 288 MB L3 - p.14) matches cores and TDP exactly and is air-cooled up to 270 W (p.74); quote it instead if PRAL insists on 250 W.</t>
  </si>
  <si>
    <t>Chipset</t>
  </si>
  <si>
    <t>Intel® latest chipset</t>
  </si>
  <si>
    <t>Intel Xeon 6 platform (DL380 Gen12)</t>
  </si>
  <si>
    <t>-</t>
  </si>
  <si>
    <t>OPEN: the QuickSpecs does not name the chipset. Obtain written confirmation from HPE/Intel (Xeon 6 platform datasheet) before marking Yes.</t>
  </si>
  <si>
    <t>2. Memory (RAM)</t>
  </si>
  <si>
    <t>Memory</t>
  </si>
  <si>
    <t>Installed memory</t>
  </si>
  <si>
    <t>1 TB DDR5 ECC, dual rank supported or higher</t>
  </si>
  <si>
    <t>1 TB per server: 16 x HPE 64GB (1x64GB) Dual Rank x4 DDR5-6400 ECC RDIMM (P69728-F21)</t>
  </si>
  <si>
    <t>DL380 Gen12 QuickSpecs.pdf, p.15 &amp; p.34; PRALP_73_2026 BOM P69728-F21 (qty 32 / 2 servers)</t>
  </si>
  <si>
    <t>16 DIMMs = 1 DIMM per channel, so DDR5-6400 speed is retained (p.15 note). BOM SKU -F21 is the factory-integrated variant of P69728-B21.</t>
  </si>
  <si>
    <t>Scalability</t>
  </si>
  <si>
    <t>Each server scalable up to 2 TB or more through additional DIMMs, without any additional memory expansion hardware</t>
  </si>
  <si>
    <t>32 DIMM slots, 16 free per server; max 8 TB (32 x 256GB). Adding 16 x 64GB gives 2 TB.</t>
  </si>
  <si>
    <t>DL380 Gen12 QuickSpecs.pdf, p.15</t>
  </si>
  <si>
    <t>Scales to 2 TB and beyond with the existing slots; no expansion hardware needed.</t>
  </si>
  <si>
    <t>Error-Correcting Code (ECC)</t>
  </si>
  <si>
    <t>Enabled for reliability</t>
  </si>
  <si>
    <t>Advanced ECC on HPE DDR5 Smart Memory RDIMM (EC8); ADDDC (on by default) and memory mirroring supported</t>
  </si>
  <si>
    <t>DL380 Gen12 QuickSpecs.pdf, p.15 &amp; p.34</t>
  </si>
  <si>
    <t>ECC is standard on the registered DIMMs offered.</t>
  </si>
  <si>
    <t>3. Primary Storage</t>
  </si>
  <si>
    <t>Storage – OS drives</t>
  </si>
  <si>
    <t>Operating system drives</t>
  </si>
  <si>
    <t>2 x 256 GB NVMe SSDs for OS installation</t>
  </si>
  <si>
    <t>1 x HPE NS204i-u v2 480GB NVMe boot device per server (P78279-B21) = 2 x 480 GB M.2 NVMe in hardware RAID 1</t>
  </si>
  <si>
    <t>DL380 Gen12 QuickSpecs.pdf, p.53; PRALP_73_2026 BOM P78279-B21 and P74755-B21</t>
  </si>
  <si>
    <t>Exceeds 2 x 256 GB. The two-drive RAID 1 layout comes from HPE's NS204i-u v2 product specification, not the QuickSpecs; attach that datasheet.</t>
  </si>
  <si>
    <t>Storage – Data drives</t>
  </si>
  <si>
    <t>Data storage drives</t>
  </si>
  <si>
    <t>6 x 1 TB SAS, hot-swappable</t>
  </si>
  <si>
    <t>6 x HPE 1.2TB SAS 12G 10K SFF hot-plug HDD per server (P28586-B21; BOM qty 12)</t>
  </si>
  <si>
    <t>DL380 Gen12 QuickSpecs.pdf, p.19 &amp; p.47; PRALP_73_2026 BOM P28586-B21</t>
  </si>
  <si>
    <t>1.2 TB is at least the 1 TB required; SAS, hot-plug. BOM lead time for the drives is 'Extended'.</t>
  </si>
  <si>
    <t>4. Storage Scalability</t>
  </si>
  <si>
    <t>Storage scalability</t>
  </si>
  <si>
    <t>Expansion bays</t>
  </si>
  <si>
    <t>Built-in additional storage bays available for future expansion</t>
  </si>
  <si>
    <t>8SFF x1 U.3 tri-mode drive cage (P75740-B21): 6 bays used, 2 spare. Chassis expandable to 24 SFF front plus rear cages.</t>
  </si>
  <si>
    <t>DL380 Gen12 QuickSpecs.pdf, p.12, p.19 &amp; p.35; PRALP_73_2026 BOM P75740-B21</t>
  </si>
  <si>
    <t>Built-in spare bays plus further cage options.</t>
  </si>
  <si>
    <t>5. RAID Configuration</t>
  </si>
  <si>
    <t>RAID</t>
  </si>
  <si>
    <t>Controller</t>
  </si>
  <si>
    <t>Integrated RAID controller</t>
  </si>
  <si>
    <t>1 x HPE MR408i-p Gen11 4GB cache SPDM storage controller per server (P74775-B21) with 96W Smart Storage battery (P01366-B21)</t>
  </si>
  <si>
    <t>DL380 Gen12 QuickSpecs.pdf, p.45; PRALP_73_2026 BOM P74775-B21</t>
  </si>
  <si>
    <t>Factory-integrated PCIe plug-in controller, not onboard. If PRAL means onboard-only by 'integrated', seek clarification. BOM lead time is 'Long'.</t>
  </si>
  <si>
    <t>Supported RAID levels</t>
  </si>
  <si>
    <t>RAID 1, 5, 6, 10</t>
  </si>
  <si>
    <t>RAID 0, 1, 5, 6, 10, 50, 60</t>
  </si>
  <si>
    <t>HPE MR Gen11 controller spec (not in provided files)</t>
  </si>
  <si>
    <t>Levels taken from published MR408i Gen11 listings; the DL380 QuickSpecs only references the controller. Attach the HPE Compute MR Controllers QuickSpecs to close this evidence gap.</t>
  </si>
  <si>
    <t>Online expansion</t>
  </si>
  <si>
    <t>Online RAID expansion capability</t>
  </si>
  <si>
    <t>Online Capacity Expansion (OCE) supported</t>
  </si>
  <si>
    <t>Same evidence gap as Sr 15.</t>
  </si>
  <si>
    <t>6. Network Interfaces</t>
  </si>
  <si>
    <t>Network</t>
  </si>
  <si>
    <t>SFP28 ports</t>
  </si>
  <si>
    <t>2 x 25 Gbps SFP28 ports, backward compatible with 10 Gbps, including compatible SFP28 transceivers</t>
  </si>
  <si>
    <t>1 x Broadcom BCM57414 10/25Gb 2-port SFP28 adapter per server (P26262-B21) + 2 x HPE 25Gb SFP28 SR transceivers per server (845398-B21)</t>
  </si>
  <si>
    <t>DL380 Gen12 QuickSpecs.pdf, p.55; PRALP_73_2026 BOM P26262-B21 (qty 2), 845398-B21 (qty 4)</t>
  </si>
  <si>
    <t>Adapter is 10/25 Gb. The optics supplied are 25G SR; add 10G SFP+ optics if 10 Gb fallback links will be used.</t>
  </si>
  <si>
    <t>Ethernet ports</t>
  </si>
  <si>
    <t>4 x 10 Gbps Ethernet ports, auto-negotiable to 1 Gbps</t>
  </si>
  <si>
    <t>2 x Broadcom BCM57416 10Gb 2-port BASE-T adapters per server (P26253-B21) = 4 x 10GBASE-T ports; plus 1 x BCM5719 1Gb 4-port OCP3 (P51181-B21)</t>
  </si>
  <si>
    <t>DL380 Gen12 QuickSpecs.pdf, p.55 &amp; p.57; PRALP_73_2026 BOM P26253-B21 (qty 4)</t>
  </si>
  <si>
    <t>1 Gb fallback is standard for BASE-T but not stated in the QuickSpecs; attach the adapter datasheet.</t>
  </si>
  <si>
    <t>Management port</t>
  </si>
  <si>
    <t>1 x 1 Gbps Management / iLO port</t>
  </si>
  <si>
    <t>Dedicated 1 Gb iLO management port (rear), HPE iLO 7; iLO Advanced licence (BD505A)</t>
  </si>
  <si>
    <t>DL380 Gen12 QuickSpecs.pdf, p.15 &amp; p.20; PRALP_73_2026 BOM BD505A</t>
  </si>
  <si>
    <t>7. HBA Cards</t>
  </si>
  <si>
    <t>HBA</t>
  </si>
  <si>
    <t>HBA NVMe-ready cards</t>
  </si>
  <si>
    <t>2 HBA NVMe-ready cards with dual ports of 32 Gbps or higher; auto-negotiate to 16 Gbps</t>
  </si>
  <si>
    <t>2 x HPE SN1620E 32Gb 2-port FC SecureHBA per server (S4S01A; BOM qty 4) = 4 x 32G ports</t>
  </si>
  <si>
    <t>DL380 Gen12 QuickSpecs.pdf, p.56; PRALP_73_2026 BOM S4S01A</t>
  </si>
  <si>
    <t>Dual-port 32G, backward compatible with 16G/8G and FC-NVMe capable per HPE product literature (not in the QuickSpecs); attach the SN1620E datasheet. Confirm FC optics are included (no FC transceiver lines in BOM).</t>
  </si>
  <si>
    <t>8. Chassis</t>
  </si>
  <si>
    <t>Chassis</t>
  </si>
  <si>
    <t>Form factor</t>
  </si>
  <si>
    <t>Rack-mounted 2U or 3U server</t>
  </si>
  <si>
    <t>2U rack-mount: HPE ProLiant DL380 Gen12 SFF (P73282-B21) with easy-install rails (P52341-B21)</t>
  </si>
  <si>
    <t>DL380 Gen12 QuickSpecs.pdf, p.1 &amp; p.12; PRALP_73_2026 BOM P73282-B21</t>
  </si>
  <si>
    <t>2U meets '2U or 3U'.</t>
  </si>
  <si>
    <t>Power supplies and fans</t>
  </si>
  <si>
    <t>Redundant, hot-swappable power supplies and fans</t>
  </si>
  <si>
    <t>2 x HPE 1600W Flex Slot Platinum hot-plug PSU per server (P38997-B21; BOM qty 4); hot-plug high-performance fans (P48820-B21)</t>
  </si>
  <si>
    <t>DL380 Gen12 QuickSpecs.pdf, p.8 &amp; p.60; PRALP_73_2026 BOM P38997-B21, P48820-B21</t>
  </si>
  <si>
    <t>1600W PSUs need 200-240 VAC (p.60); confirm datacentre supply. QuickSpecs states hot-plug fans but not N+1 fan redundancy wording.</t>
  </si>
  <si>
    <t>9. Operating System Support</t>
  </si>
  <si>
    <t>OS support</t>
  </si>
  <si>
    <t>Supported OS / hypervisors</t>
  </si>
  <si>
    <t>All operating systems from Microsoft (x86), Linux, Ubuntu, Solaris Intel, RHEL, SUSE, VMware / Citrix / Oracle / Open hypervisors</t>
  </si>
  <si>
    <t>Partner OS/hypervisor support per HPE Servers Support &amp; Certification Matrices (Windows Server, RHEL, SUSE, Ubuntu, VMware ESXi expected)</t>
  </si>
  <si>
    <t>DL380 Gen12 QuickSpecs.pdf, p.20</t>
  </si>
  <si>
    <t>OPEN: the QuickSpecs defers to HPE certification matrices. Solaris Intel, Citrix and Oracle hypervisor support on Gen12 is unverified; check the matrices and OS vendor HCLs and attach screenshots.</t>
  </si>
  <si>
    <t>10. Install Media</t>
  </si>
  <si>
    <t>Install media</t>
  </si>
  <si>
    <t>Bootable media / ISO</t>
  </si>
  <si>
    <t>Non-licensed bootable media / ISO files for latest version of Windows and ESXi with embedded drivers for server hardware including HBA, Network and RAID</t>
  </si>
  <si>
    <t>Bidder to supply non-licensed Windows Server and VMware ESXi ISOs with embedded HPE drivers (HPE custom ESXi image / SPP) covering RAID, NIC and FC HBA</t>
  </si>
  <si>
    <t>OPEN: deliverable the bidder must prepare and test for MR408i-p, BCM57414/57416 and SN1620E.</t>
  </si>
  <si>
    <t>Compliance Sheet – Scope of Work, Support, Warranty &amp; Bid Requirements</t>
  </si>
  <si>
    <t>Procurement of Servers – Network &amp; Infrastructure Department, PRAL | Source: RFP Scope of Work, Post-Sales Support, BOQ and Technical Evaluation Criteria</t>
  </si>
  <si>
    <t>How to fill: complete the yellow cells only (Offered Specification, Compliance dropdown, Reference, Remarks). Attach OEM datasheets/brochures as evidence. Where evidence is required, state the attached document name and page in the Reference column.</t>
  </si>
  <si>
    <t>A. Scope of Work</t>
  </si>
  <si>
    <t>Scope</t>
  </si>
  <si>
    <t>Supply, installation, commissioning and maintenance</t>
  </si>
  <si>
    <t>Servers as per BOQ with onsite support for 5 years warranty including parts and labour</t>
  </si>
  <si>
    <t>Supply, install, commission and maintain 2 x DL380 Gen12 with 5-year HPE Tech Care Essential (HU4A6A5), DL380 Gen12 Support (HU4A6A50C4V x2) and iLO Advanced support (R2M x2)</t>
  </si>
  <si>
    <t>PRALP_73_2026 BOM HU4A6A5, HU4A6A50C4V; DL380 Gen12 QuickSpecs.pdf, p.24 &amp; p.64</t>
  </si>
  <si>
    <t>OPEN: base HPE warranty is 3 years (p.24); years 4-5 depend on Tech Care. Confirm Tech Care Essential gives 24x7 on-site parts and labour for 5 years and attach the HPE service datasheet. BOM has no HPE install/startup service (U4554E), so installation is bidder-delivered.</t>
  </si>
  <si>
    <t>BOQ quantity (Technical BOQ – Metro Datacenter)</t>
  </si>
  <si>
    <t>Rack Mount Servers (with all allied accessories and installation): 2 Nos</t>
  </si>
  <si>
    <t>2 x HPE ProLiant DL380 Gen12 servers (P73282-B21 qty 2) with all accessories listed in the BOM</t>
  </si>
  <si>
    <t>PRALP_73_2026 BOM, line P73282-B21</t>
  </si>
  <si>
    <t>Quantity matches the BOQ.</t>
  </si>
  <si>
    <t>EOL / EOS protection</t>
  </si>
  <si>
    <t>Equipment must not be declared EOL/EOS by OEM within contract period; if declared within 5 years of commissioning, bidder replaces with equivalent or higher configuration</t>
  </si>
  <si>
    <t>HPE written undertaking to replace with equal or higher configuration if EOL/EOS is declared within 5 years of commissioning</t>
  </si>
  <si>
    <t>OPEN: needs an HPE/distributor letter. DL380 Gen12 is a current-generation platform (QuickSpecs published Sep 2026), which supports but does not replace the undertaking.</t>
  </si>
  <si>
    <t>Single point of contact</t>
  </si>
  <si>
    <t>Bidder appoints a single point of contact for all RFB-related activity</t>
  </si>
  <si>
    <t>Bidder appoints a single point of contact for all RFB activity: [name, designation, mobile, email]</t>
  </si>
  <si>
    <t>Bid cover letter</t>
  </si>
  <si>
    <t>Commitment: fill in the contact details before submission.</t>
  </si>
  <si>
    <t>UAT</t>
  </si>
  <si>
    <t>Provide documentation and template for conducting UAT (User Acceptance Test)</t>
  </si>
  <si>
    <t>UAT plan, test cases and sign-off template supplied with delivery</t>
  </si>
  <si>
    <t>UAT document (to attach)</t>
  </si>
  <si>
    <t>Commitment: prepare the UAT template before submission.</t>
  </si>
  <si>
    <t>Installation &amp; configuration</t>
  </si>
  <si>
    <t>Carried out by certified engineers from the supplier</t>
  </si>
  <si>
    <t>Installation and configuration by certified engineers of the bidder</t>
  </si>
  <si>
    <t>Engineer certificates (to attach)</t>
  </si>
  <si>
    <t>OPEN: attach engineer certifications and CVs. Not verifiable from the provided files.</t>
  </si>
  <si>
    <t>Network port population</t>
  </si>
  <si>
    <t>All network ports fully populated with required transceivers (SFP/SFP+/SFP28) or RJ-45 connectors, except ports specified as 'without SFPs'; supplier provides all converters, cables and transceivers</t>
  </si>
  <si>
    <t>4 x 25Gb SFP28 SR transceivers (845398-B21) for the 4 SFP28 ports; 10GBASE-T and 1GbE ports use RJ-45; 4 power cords (P78145-B21)</t>
  </si>
  <si>
    <t>PRALP_73_2026 BOM 845398-B21, P78145-B21</t>
  </si>
  <si>
    <t>GAP: BOM has no network cables (LC-LC OM4 patch cords for SFP28 and FC, Cat6A for RJ-45) and FC HBA optics are not itemised. Add them to satisfy 'supplier provides all cables and transceivers'.</t>
  </si>
  <si>
    <t>B. Post-Sales Support &amp; Warranty</t>
  </si>
  <si>
    <t>Post-sales support</t>
  </si>
  <si>
    <t>Support duration</t>
  </si>
  <si>
    <t>Comprehensive post-sales support for entire solution (hardware, software, licenses) and associated equipment for 5 years, with 24x7 extendable support</t>
  </si>
  <si>
    <t>5-year support for hardware, software and licences: 5Y Tech Care (HU4A6A5) and iLO Advanced support (R2M); 24x7 extendable</t>
  </si>
  <si>
    <t>PRALP_73_2026 BOM HU4A6A5, BD505A, R7A11AAE</t>
  </si>
  <si>
    <t>OPEN: iLO Advanced licence (BD505A) and Compute Ops Management (R7A11AAE) are 3-year items. Extend to 5 years or confirm coverage, and confirm the 24x7 level.</t>
  </si>
  <si>
    <t>OEM written commitment</t>
  </si>
  <si>
    <t>OEM provides written commitment to support and services</t>
  </si>
  <si>
    <t>HPE written commitment to support and services</t>
  </si>
  <si>
    <t>OPEN: obtain from HPE Pakistan.</t>
  </si>
  <si>
    <t>Dedicated engineers / onsite parts</t>
  </si>
  <si>
    <t>Dedicated support engineers from supplier are mandatory; critical components available on-site</t>
  </si>
  <si>
    <t>Dedicated support engineers from the bidder; critical spares held on site</t>
  </si>
  <si>
    <t>OPEN: bidder to name engineers and confirm an on-site spares kit (PSU, fan, HDD).</t>
  </si>
  <si>
    <t>Warranty</t>
  </si>
  <si>
    <t>5-year onsite comprehensive warranty</t>
  </si>
  <si>
    <t>All equipment quoted with 5 years onsite comprehensive warranty incl. parts and labour/support; no additional charges for parts replacement or labour during warranty</t>
  </si>
  <si>
    <t>5-year on-site comprehensive warranty incl. parts and labour via HPE Tech Care Essential (see Sr 1)</t>
  </si>
  <si>
    <t>DL380 Gen12 QuickSpecs.pdf, p.24, p.47 &amp; p.64</t>
  </si>
  <si>
    <t>OPEN: as Sr 1. Standard warranty is 3-year parts/labour/on-site NBD (p.24). HDDs carry a 3-year drive warranty (p.47); confirm Tech Care covers them to year 5.</t>
  </si>
  <si>
    <t>Maintenance</t>
  </si>
  <si>
    <t>Firmware / software / patch upgrades</t>
  </si>
  <si>
    <t>Done proactively during warranty when stable major/minor releases are available; analysed at least once a year</t>
  </si>
  <si>
    <t>Proactive firmware and driver updates using HPE SPP/Smart Update Manager and Compute Ops Management; annual review by the bidder</t>
  </si>
  <si>
    <t>DL380 Gen12 QuickSpecs.pdf, p.22-23</t>
  </si>
  <si>
    <t>Commitment backed by HPE tooling (iLO 7, SPP/SUM, COM). The COM subscription in the BOM is 3 years.</t>
  </si>
  <si>
    <t>C. OEM and Partner Requirements</t>
  </si>
  <si>
    <t>OEM channel</t>
  </si>
  <si>
    <t>Supply through highest-level partners</t>
  </si>
  <si>
    <t>OEM supplies the servers through its highest level of Partners in Pakistan</t>
  </si>
  <si>
    <t>Supply through the highest-level HPE partner in Pakistan</t>
  </si>
  <si>
    <t>OPEN: attach the HPE partner-tier certificate for the bidder or distributor. Not verifiable from the provided files.</t>
  </si>
  <si>
    <t>OEM experience</t>
  </si>
  <si>
    <t>OEM business history</t>
  </si>
  <si>
    <t>OEM in business for last 10 years in manufacturing, supply and installation of enterprise-grade rack mount servers</t>
  </si>
  <si>
    <t>HPE ProLiant rack servers; OEM in business well over 10 years</t>
  </si>
  <si>
    <t>HPE corporate profile (to attach)</t>
  </si>
  <si>
    <t>Attach the OEM profile/brochure as documentary evidence.</t>
  </si>
  <si>
    <t>OEM support</t>
  </si>
  <si>
    <t>Country-wide support</t>
  </si>
  <si>
    <t>Direct country-wide support from Partners incl. Islamabad, Lahore and Karachi</t>
  </si>
  <si>
    <t>Direct country-wide support through partners in Islamabad, Lahore and Karachi</t>
  </si>
  <si>
    <t>OPEN: attach the partner/support office list.</t>
  </si>
  <si>
    <t>Spare parts</t>
  </si>
  <si>
    <t>Spares in Pakistan – NBD</t>
  </si>
  <si>
    <t>Evidence from manufacturer of spare parts in Pakistan with Next Business Day delivery commitment in Islamabad (documentary evidence required)</t>
  </si>
  <si>
    <t>Spare parts in Pakistan with next-business-day delivery to Islamabad</t>
  </si>
  <si>
    <t>OPEN: needs documentary evidence from HPE.</t>
  </si>
  <si>
    <t>OEM standing</t>
  </si>
  <si>
    <t>Gartner Magic Quadrant</t>
  </si>
  <si>
    <t>Proposed server OEM positioned in latest published Gartner Magic Quadrant for relevant technology category; documentary evidence by bidder</t>
  </si>
  <si>
    <t>HPE position in the latest published Gartner Magic Quadrant</t>
  </si>
  <si>
    <t>OPEN: obtain the latest MQ report naming HPE. Not verified here.</t>
  </si>
  <si>
    <t>D. Delivery &amp; Timelines</t>
  </si>
  <si>
    <t>Delivery</t>
  </si>
  <si>
    <t>Delivery, installation and commissioning</t>
  </si>
  <si>
    <t>8–10 weeks from contract signing / issuance of purchase or service order; written confirmation on company letterhead</t>
  </si>
  <si>
    <t>8-10 weeks from contract signing; written confirmation on letterhead</t>
  </si>
  <si>
    <t>PRALP_73_2026 BOM lead-time column</t>
  </si>
  <si>
    <t>OPEN: BOM shows MR408i-p (P74775-B21) lead time 'Long' and HDDs (P28586-B21) 'Extended'. Confirm 8-10 weeks with the HPE distributor before committing in writing.</t>
  </si>
  <si>
    <t>E. Bid Submission Documents &amp; Evaluation Evidence</t>
  </si>
  <si>
    <t>Submission</t>
  </si>
  <si>
    <t>Compliance sheet</t>
  </si>
  <si>
    <t>Compliance sheets in editable Excel format against technical specifications (this workbook)</t>
  </si>
  <si>
    <t>This workbook, in editable Excel format</t>
  </si>
  <si>
    <t>This file</t>
  </si>
  <si>
    <t>Delete example row 8 on each sheet before submission.</t>
  </si>
  <si>
    <t>Technical compliance (40 marks)</t>
  </si>
  <si>
    <t>100% compliance with specifications and scope of work</t>
  </si>
  <si>
    <t>Copies of technical literature, data sheets and brochures from manufacturer (verifiable on Internet). MANDATORY 40/40</t>
  </si>
  <si>
    <t>Attach: DL380 Gen12 QuickSpecs; NS204i-u v2; MR Gen11 controllers; SN1620E; BCM57414/57416; Xeon 6530P ARK</t>
  </si>
  <si>
    <t>OPEN: mandatory 40/40 needs every line Yes. Technical Specifications Sr 1 and Sr 6 (processor) are currently No and need resolution.</t>
  </si>
  <si>
    <t>OEM presence (10 marks)</t>
  </si>
  <si>
    <t>Written OEM confirmation of presence in Pakistan</t>
  </si>
  <si>
    <t>Letter from Principal/OEM on letterhead confirming presence in Pakistan for warranty &amp; support. MANDATORY 10/10</t>
  </si>
  <si>
    <t>HPE letter on letterhead confirming presence in Pakistan for warranty and support</t>
  </si>
  <si>
    <t>OPEN: mandatory 10/10.</t>
  </si>
  <si>
    <t>Client portfolio (20 marks)</t>
  </si>
  <si>
    <t>Experience supplying enterprise-grade servers</t>
  </si>
  <si>
    <t>Purchase/service orders or contract copies with client contact details and completion certificates (&gt;10 clients = 15 / 7–10 = 10 / 4–6 = 5; multiple projects with same client count as one)</t>
  </si>
  <si>
    <t>Purchase/service orders or contracts with completion certificates (&gt;10 clients = 15 marks)</t>
  </si>
  <si>
    <t>OPEN: bidder evidence.</t>
  </si>
  <si>
    <t>Financial turnover (15 marks)</t>
  </si>
  <si>
    <t>Annual turnover</t>
  </si>
  <si>
    <t>Tax returns or audited financial report for 2023-2024 or latest (≥ PKR 40M = 15 / ≥ 30M = 10 / ≥ 20M = 5)</t>
  </si>
  <si>
    <t>Tax returns or audited accounts for 2023-2024 or latest (&gt;= PKR 40M = 15 marks)</t>
  </si>
  <si>
    <t>Qualification</t>
  </si>
  <si>
    <t>Minimum technical score</t>
  </si>
  <si>
    <t>Minimum 70/100 marks to qualify for further evaluation</t>
  </si>
  <si>
    <t>Minimum 70/100 to qualify</t>
  </si>
  <si>
    <t>Depends on Sr 20-23: Technical 40 plus OEM 10 are mandatory, leaving client portfolio (20) and turnover (15).</t>
  </si>
  <si>
    <t>Review Notes – Findings and Actions (DL380 Gen12 offer vs RFP)</t>
  </si>
  <si>
    <t>#</t>
  </si>
  <si>
    <t>Priority</t>
  </si>
  <si>
    <t>Area</t>
  </si>
  <si>
    <t>Finding</t>
  </si>
  <si>
    <t>Recommended action</t>
  </si>
  <si>
    <t>HIGH</t>
  </si>
  <si>
    <t>Processor model (Tech Sr 1)</t>
  </si>
  <si>
    <t>RFP asks for Xeon Gold 65xxY+. The DL380 Gen12 QuickSpecs (p.13-14) list only Xeon 6 processors, so the exact model cannot be offered on this platform. Sheet marks this line No.</t>
  </si>
  <si>
    <t>Send a pre-bid clarification to PRAL requesting acceptance of equal-or-higher Xeon 6 parts, or evaluate another server generation. Do not mark Yes without PRAL confirmation.</t>
  </si>
  <si>
    <t>Processor TDP (Tech Sr 6)</t>
  </si>
  <si>
    <t>Offered 6530P is 225 W; RFP says 250 W. Sheet marks this line No.</t>
  </si>
  <si>
    <t>Xeon 6730P (32 cores, 2.5 GHz, 250 W, 288 MB L3 per QuickSpecs p.14) matches cores and TDP exactly. Re-price the BOM with it, or ask PRAL to accept a lower-TDP part.</t>
  </si>
  <si>
    <t>Cabling / optics (Scope Sr 7)</t>
  </si>
  <si>
    <t>BOM has transceivers for the 4 SFP28 ports and power cords, but no network cables and no itemised FC optics for the 8 FC ports.</t>
  </si>
  <si>
    <t>Add LC-LC OM4 patch cords, Cat6A cables and FC SFPs (if not bundled with S4S01A) to the BOM.</t>
  </si>
  <si>
    <t>5-year support (Scope Sr 1, 8, 11)</t>
  </si>
  <si>
    <t>Standard HPE warranty is 3 years (QuickSpecs p.24). Years 4-5 rely on Tech Care Essential in the BOM; iLO Advanced (BD505A) and Compute Ops Management (R7A11AAE) are 3-year.</t>
  </si>
  <si>
    <t>Get the Tech Care Essential service datasheet confirming 24x7 on-site parts and labour. Extend the 3-year items or document why they are out of scope.</t>
  </si>
  <si>
    <t>Delivery 8-10 weeks (Scope Sr 18)</t>
  </si>
  <si>
    <t>BOM lead times: MR408i-p controller (P74775-B21) is Long, HDDs (P28586-B21) are Extended.</t>
  </si>
  <si>
    <t>Confirm real lead times with the HPE distributor before giving the written delivery commitment.</t>
  </si>
  <si>
    <t>MEDIUM</t>
  </si>
  <si>
    <t>Evidence gaps</t>
  </si>
  <si>
    <t>RAID levels and online expansion (Tech Sr 15-16), NS204i-u 2 x 480 GB RAID 1 (Sr 11), SN1620E FC-NVMe and 16G fallback (Sr 20), BASE-T 1G fallback (Sr 18) are not stated in the DL380 QuickSpecs. They were confirmed from product listings.</t>
  </si>
  <si>
    <t>Attach official HPE datasheets: MR Controllers QuickSpecs, NS204i-u v2, SN1620E, Broadcom BCM57414/57416, Intel ARK for 6530P.</t>
  </si>
  <si>
    <t>Chipset and OS matrix (Tech Sr 7, 23)</t>
  </si>
  <si>
    <t>QuickSpecs names no chipset and defers OS support to HPE matrices. Solaris Intel, Citrix and Oracle hypervisor on Gen12 are unverified.</t>
  </si>
  <si>
    <t>Obtain HPE/Intel confirmation and certification-matrix screenshots. Leave blank until proven.</t>
  </si>
  <si>
    <t>10 Gb fallback optics (Tech Sr 17)</t>
  </si>
  <si>
    <t>Adapter is 10/25 Gb but only 25G SR optics are supplied.</t>
  </si>
  <si>
    <t>Add 10G SFP+ SR optics or DAC cables if RFP 10 Gb fallback links are expected.</t>
  </si>
  <si>
    <t>PCIe slots and power</t>
  </si>
  <si>
    <t>Each server uses 6 PCIe cards (MR408i-p, 2 x FC HBA, 2 x BCM57416, 1 x BCM57414), exactly the 6 slots from two risers, so there is no spare slot. 1600W PSUs need 200-240 VAC (QuickSpecs p.60).</t>
  </si>
  <si>
    <t>Validate the configuration in HPE One Config Advanced and confirm datacentre power.</t>
  </si>
  <si>
    <t>BOM pricing</t>
  </si>
  <si>
    <t>The memory line shows $65,280 per 64GB DIMM (32 x = $2,088,960), about 90% of the $2,331,930 total. This looks wrong versus the other lines.</t>
  </si>
  <si>
    <t>Re-export the configuration or verify the DIMM price before quoting.</t>
  </si>
  <si>
    <t>INFO</t>
  </si>
  <si>
    <t>Bidder-side items</t>
  </si>
  <si>
    <t>Partner tier, HPE letters, spares evidence, Gartner MQ, client portfolio, turnover and engineer certifications cannot be verified from the provided files; they are left blank (Pending).</t>
  </si>
  <si>
    <t>Gather these documents; the Summary box on each sheet will update as you set Yes/No.</t>
  </si>
  <si>
    <t>Evidence file names</t>
  </si>
  <si>
    <t>"DL380 Gen12 QuickSpecs.pdf" = HPE_ProLiant_Compute_DL380_Gen12_QuickSpecs-a00073551enw.pdf (page numbers are PDF pages). "PRALP_73_2026 BOM" = PRALP_73_2026_5157336442-01_2_.xlsx, BOM sheet.</t>
  </si>
  <si>
    <t>Use the full file names when attaching evidence in the bid.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</si>
</sst>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7F7F7F"/>
      <name val="Arial"/>
      <family val="2"/>
    </font>
    <font>
      <b/>
      <sz val="14"/>
      <color rgb="FF1F38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DDEBF7"/>
      </patternFill>
    </fill>
    <fill>
      <patternFill patternType="solid">
        <fgColor rgb="FFBDD7EE"/>
        <bgColor rgb="FFC6EFCE"/>
      </patternFill>
    </fill>
    <fill>
      <patternFill patternType="solid">
        <fgColor rgb="FFFFF2CC"/>
        <bgColor rgb="FFEDEDED"/>
      </patternFill>
    </fill>
    <fill>
      <patternFill patternType="solid">
        <fgColor rgb="FFF8CBAD"/>
        <bgColor rgb="FFFFC7CE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  <bgColor rgb="FFEDEDED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4" fillId="0" borderId="1" xfId="0" applyFont="1" applyBorder="1"/>
    <xf numFmtId="0" fontId="6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164" fontId="6" fillId="0" borderId="1" xfId="0" applyNumberFormat="1" applyFont="1" applyBorder="1"/>
    <xf numFmtId="0" fontId="9" fillId="0" borderId="0" xfId="0" applyFont="1"/>
    <xf numFmtId="0" fontId="7" fillId="2" borderId="0" xfId="0" applyFont="1" applyFill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/>
    <xf numFmtId="0" fontId="2" fillId="2" borderId="0" xfId="0" applyFont="1" applyFill="1" applyBorder="1" applyAlignment="1">
      <alignment vertical="center"/>
    </xf>
    <xf numFmtId="0" fontId="3" fillId="0" borderId="0" xfId="0" applyFont="1" applyBorder="1"/>
    <xf numFmtId="0" fontId="4" fillId="0" borderId="0" xfId="0" applyFont="1" applyBorder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6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showGridLines="0" tabSelected="1" zoomScaleNormal="100" workbookViewId="0">
      <pane ySplit="7" topLeftCell="A38" activePane="bottomLeft" state="frozen"/>
      <selection pane="bottomLeft" activeCell="E40" sqref="E40"/>
    </sheetView>
  </sheetViews>
  <sheetFormatPr defaultColWidth="8.7109375" defaultRowHeight="15" x14ac:dyDescent="0.25"/>
  <cols>
    <col min="1" max="1" width="7" customWidth="1"/>
    <col min="2" max="2" width="22" customWidth="1"/>
    <col min="3" max="3" width="48" customWidth="1"/>
    <col min="4" max="4" width="42" customWidth="1"/>
    <col min="5" max="5" width="50" customWidth="1"/>
    <col min="6" max="6" width="16" customWidth="1"/>
    <col min="7" max="7" width="34" customWidth="1"/>
    <col min="8" max="8" width="62" customWidth="1"/>
    <col min="9" max="9" width="3" customWidth="1"/>
    <col min="10" max="10" width="22" customWidth="1"/>
    <col min="11" max="11" width="10" customWidth="1"/>
  </cols>
  <sheetData>
    <row r="1" spans="1:11" ht="25.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11" x14ac:dyDescent="0.25">
      <c r="A2" s="20" t="s">
        <v>1</v>
      </c>
      <c r="B2" s="20"/>
      <c r="C2" s="20"/>
      <c r="D2" s="20"/>
      <c r="E2" s="20"/>
      <c r="F2" s="20"/>
      <c r="G2" s="20"/>
      <c r="H2" s="20"/>
    </row>
    <row r="3" spans="1:11" ht="42" customHeight="1" x14ac:dyDescent="0.25">
      <c r="A3" s="21" t="s">
        <v>2</v>
      </c>
      <c r="B3" s="21"/>
      <c r="C3" s="21"/>
      <c r="D3" s="21"/>
      <c r="E3" s="21"/>
      <c r="F3" s="21"/>
      <c r="G3" s="21"/>
      <c r="H3" s="21"/>
    </row>
    <row r="5" spans="1:11" x14ac:dyDescent="0.25">
      <c r="A5" s="1"/>
      <c r="J5" s="1" t="s">
        <v>3</v>
      </c>
    </row>
    <row r="6" spans="1:11" x14ac:dyDescent="0.25">
      <c r="J6" s="2" t="s">
        <v>4</v>
      </c>
      <c r="K6" s="3">
        <f>COUNT(A9:A42)</f>
        <v>24</v>
      </c>
    </row>
    <row r="7" spans="1:11" ht="36" customHeight="1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J7" s="2" t="s">
        <v>13</v>
      </c>
      <c r="K7" s="3">
        <f>COUNTIF(F9:F42,"Yes")</f>
        <v>19</v>
      </c>
    </row>
    <row r="8" spans="1:11" ht="24" customHeight="1" x14ac:dyDescent="0.25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J8" s="2" t="s">
        <v>22</v>
      </c>
      <c r="K8" s="3">
        <f>COUNTIF(F9:F42,"No")</f>
        <v>2</v>
      </c>
    </row>
    <row r="9" spans="1:11" x14ac:dyDescent="0.25">
      <c r="A9" s="18" t="s">
        <v>23</v>
      </c>
      <c r="B9" s="18"/>
      <c r="C9" s="18"/>
      <c r="D9" s="18"/>
      <c r="E9" s="18"/>
      <c r="F9" s="18"/>
      <c r="G9" s="18"/>
      <c r="H9" s="18"/>
      <c r="J9" s="2" t="s">
        <v>24</v>
      </c>
      <c r="K9" s="3">
        <f>K6-K7-K8</f>
        <v>3</v>
      </c>
    </row>
    <row r="10" spans="1:11" ht="81.75" customHeight="1" x14ac:dyDescent="0.25">
      <c r="A10" s="6">
        <v>1</v>
      </c>
      <c r="B10" s="7" t="s">
        <v>25</v>
      </c>
      <c r="C10" s="7" t="s">
        <v>26</v>
      </c>
      <c r="D10" s="16" t="s">
        <v>27</v>
      </c>
      <c r="E10" s="17" t="s">
        <v>28</v>
      </c>
      <c r="F10" s="8" t="s">
        <v>29</v>
      </c>
      <c r="G10" s="17" t="s">
        <v>30</v>
      </c>
      <c r="H10" s="17" t="s">
        <v>31</v>
      </c>
      <c r="J10" s="2" t="s">
        <v>32</v>
      </c>
      <c r="K10" s="9">
        <f>IF(K6=0,0,K7/K6)</f>
        <v>0.79166666666666663</v>
      </c>
    </row>
    <row r="11" spans="1:11" ht="25.5" customHeight="1" x14ac:dyDescent="0.25">
      <c r="A11" s="6">
        <v>2</v>
      </c>
      <c r="B11" s="7" t="s">
        <v>25</v>
      </c>
      <c r="C11" s="7" t="s">
        <v>33</v>
      </c>
      <c r="D11" s="7" t="s">
        <v>34</v>
      </c>
      <c r="E11" s="17" t="s">
        <v>35</v>
      </c>
      <c r="F11" s="8" t="s">
        <v>19</v>
      </c>
      <c r="G11" s="17" t="s">
        <v>36</v>
      </c>
      <c r="H11" s="17" t="s">
        <v>37</v>
      </c>
    </row>
    <row r="12" spans="1:11" ht="30" customHeight="1" x14ac:dyDescent="0.25">
      <c r="A12" s="6">
        <v>3</v>
      </c>
      <c r="B12" s="7" t="s">
        <v>25</v>
      </c>
      <c r="C12" s="7" t="s">
        <v>38</v>
      </c>
      <c r="D12" s="7" t="s">
        <v>39</v>
      </c>
      <c r="E12" s="17" t="s">
        <v>40</v>
      </c>
      <c r="F12" s="8" t="s">
        <v>19</v>
      </c>
      <c r="G12" s="17" t="s">
        <v>41</v>
      </c>
      <c r="H12" s="17" t="s">
        <v>42</v>
      </c>
    </row>
    <row r="13" spans="1:11" ht="42.75" customHeight="1" x14ac:dyDescent="0.25">
      <c r="A13" s="6">
        <v>4</v>
      </c>
      <c r="B13" s="7" t="s">
        <v>25</v>
      </c>
      <c r="C13" s="7" t="s">
        <v>43</v>
      </c>
      <c r="D13" s="7" t="s">
        <v>44</v>
      </c>
      <c r="E13" s="17" t="s">
        <v>45</v>
      </c>
      <c r="F13" s="8" t="s">
        <v>19</v>
      </c>
      <c r="G13" s="17" t="s">
        <v>46</v>
      </c>
      <c r="H13" s="17" t="s">
        <v>42</v>
      </c>
    </row>
    <row r="14" spans="1:11" ht="42.75" customHeight="1" x14ac:dyDescent="0.25">
      <c r="A14" s="6">
        <v>5</v>
      </c>
      <c r="B14" s="7" t="s">
        <v>25</v>
      </c>
      <c r="C14" s="7" t="s">
        <v>47</v>
      </c>
      <c r="D14" s="7" t="s">
        <v>48</v>
      </c>
      <c r="E14" s="17" t="s">
        <v>49</v>
      </c>
      <c r="F14" s="8" t="s">
        <v>19</v>
      </c>
      <c r="G14" s="17" t="s">
        <v>36</v>
      </c>
      <c r="H14" s="17" t="s">
        <v>50</v>
      </c>
    </row>
    <row r="15" spans="1:11" ht="69" customHeight="1" x14ac:dyDescent="0.25">
      <c r="A15" s="6">
        <v>6</v>
      </c>
      <c r="B15" s="7" t="s">
        <v>25</v>
      </c>
      <c r="C15" s="7" t="s">
        <v>51</v>
      </c>
      <c r="D15" s="7" t="s">
        <v>52</v>
      </c>
      <c r="E15" s="17" t="s">
        <v>53</v>
      </c>
      <c r="F15" s="8" t="s">
        <v>29</v>
      </c>
      <c r="G15" s="17" t="s">
        <v>41</v>
      </c>
      <c r="H15" s="17" t="s">
        <v>54</v>
      </c>
    </row>
    <row r="16" spans="1:11" ht="42.75" customHeight="1" x14ac:dyDescent="0.25">
      <c r="A16" s="6">
        <v>7</v>
      </c>
      <c r="B16" s="7" t="s">
        <v>25</v>
      </c>
      <c r="C16" s="7" t="s">
        <v>55</v>
      </c>
      <c r="D16" s="16" t="s">
        <v>56</v>
      </c>
      <c r="E16" s="17" t="s">
        <v>57</v>
      </c>
      <c r="F16" s="8"/>
      <c r="G16" s="8" t="s">
        <v>58</v>
      </c>
      <c r="H16" s="17" t="s">
        <v>59</v>
      </c>
    </row>
    <row r="17" spans="1:8" x14ac:dyDescent="0.25">
      <c r="A17" s="18" t="s">
        <v>60</v>
      </c>
      <c r="B17" s="18"/>
      <c r="C17" s="18"/>
      <c r="D17" s="18"/>
      <c r="E17" s="18"/>
      <c r="F17" s="18"/>
      <c r="G17" s="18"/>
      <c r="H17" s="18"/>
    </row>
    <row r="18" spans="1:8" ht="42.75" customHeight="1" x14ac:dyDescent="0.25">
      <c r="A18" s="6">
        <v>8</v>
      </c>
      <c r="B18" s="7" t="s">
        <v>61</v>
      </c>
      <c r="C18" s="7" t="s">
        <v>62</v>
      </c>
      <c r="D18" s="7" t="s">
        <v>63</v>
      </c>
      <c r="E18" s="17" t="s">
        <v>64</v>
      </c>
      <c r="F18" s="8" t="s">
        <v>19</v>
      </c>
      <c r="G18" s="17" t="s">
        <v>65</v>
      </c>
      <c r="H18" s="17" t="s">
        <v>66</v>
      </c>
    </row>
    <row r="19" spans="1:8" ht="42.75" customHeight="1" x14ac:dyDescent="0.25">
      <c r="A19" s="6">
        <v>9</v>
      </c>
      <c r="B19" s="7" t="s">
        <v>61</v>
      </c>
      <c r="C19" s="7" t="s">
        <v>67</v>
      </c>
      <c r="D19" s="7" t="s">
        <v>68</v>
      </c>
      <c r="E19" s="17" t="s">
        <v>69</v>
      </c>
      <c r="F19" s="8" t="s">
        <v>19</v>
      </c>
      <c r="G19" s="17" t="s">
        <v>70</v>
      </c>
      <c r="H19" s="17" t="s">
        <v>71</v>
      </c>
    </row>
    <row r="20" spans="1:8" ht="42.75" customHeight="1" x14ac:dyDescent="0.25">
      <c r="A20" s="6">
        <v>10</v>
      </c>
      <c r="B20" s="7" t="s">
        <v>61</v>
      </c>
      <c r="C20" s="7" t="s">
        <v>72</v>
      </c>
      <c r="D20" s="7" t="s">
        <v>73</v>
      </c>
      <c r="E20" s="17" t="s">
        <v>74</v>
      </c>
      <c r="F20" s="8" t="s">
        <v>19</v>
      </c>
      <c r="G20" s="17" t="s">
        <v>75</v>
      </c>
      <c r="H20" s="17" t="s">
        <v>76</v>
      </c>
    </row>
    <row r="21" spans="1:8" x14ac:dyDescent="0.25">
      <c r="A21" s="18" t="s">
        <v>77</v>
      </c>
      <c r="B21" s="18"/>
      <c r="C21" s="18"/>
      <c r="D21" s="18"/>
      <c r="E21" s="18"/>
      <c r="F21" s="18"/>
      <c r="G21" s="18"/>
      <c r="H21" s="18"/>
    </row>
    <row r="22" spans="1:8" ht="42.75" customHeight="1" x14ac:dyDescent="0.25">
      <c r="A22" s="6">
        <v>11</v>
      </c>
      <c r="B22" s="7" t="s">
        <v>78</v>
      </c>
      <c r="C22" s="7" t="s">
        <v>79</v>
      </c>
      <c r="D22" s="7" t="s">
        <v>80</v>
      </c>
      <c r="E22" s="17" t="s">
        <v>81</v>
      </c>
      <c r="F22" s="8" t="s">
        <v>19</v>
      </c>
      <c r="G22" s="17" t="s">
        <v>82</v>
      </c>
      <c r="H22" s="17" t="s">
        <v>83</v>
      </c>
    </row>
    <row r="23" spans="1:8" ht="42.75" customHeight="1" x14ac:dyDescent="0.25">
      <c r="A23" s="6">
        <v>12</v>
      </c>
      <c r="B23" s="7" t="s">
        <v>84</v>
      </c>
      <c r="C23" s="7" t="s">
        <v>85</v>
      </c>
      <c r="D23" s="7" t="s">
        <v>86</v>
      </c>
      <c r="E23" s="17" t="s">
        <v>87</v>
      </c>
      <c r="F23" s="8" t="s">
        <v>19</v>
      </c>
      <c r="G23" s="17" t="s">
        <v>88</v>
      </c>
      <c r="H23" s="17" t="s">
        <v>89</v>
      </c>
    </row>
    <row r="24" spans="1:8" x14ac:dyDescent="0.25">
      <c r="A24" s="18" t="s">
        <v>90</v>
      </c>
      <c r="B24" s="18"/>
      <c r="C24" s="18"/>
      <c r="D24" s="18"/>
      <c r="E24" s="18"/>
      <c r="F24" s="18"/>
      <c r="G24" s="18"/>
      <c r="H24" s="18"/>
    </row>
    <row r="25" spans="1:8" ht="42.75" customHeight="1" x14ac:dyDescent="0.25">
      <c r="A25" s="6">
        <v>13</v>
      </c>
      <c r="B25" s="7" t="s">
        <v>91</v>
      </c>
      <c r="C25" s="7" t="s">
        <v>92</v>
      </c>
      <c r="D25" s="7" t="s">
        <v>93</v>
      </c>
      <c r="E25" s="17" t="s">
        <v>94</v>
      </c>
      <c r="F25" s="8" t="s">
        <v>19</v>
      </c>
      <c r="G25" s="17" t="s">
        <v>95</v>
      </c>
      <c r="H25" s="17" t="s">
        <v>96</v>
      </c>
    </row>
    <row r="26" spans="1:8" x14ac:dyDescent="0.25">
      <c r="A26" s="18" t="s">
        <v>97</v>
      </c>
      <c r="B26" s="18"/>
      <c r="C26" s="18"/>
      <c r="D26" s="18"/>
      <c r="E26" s="18"/>
      <c r="F26" s="18"/>
      <c r="G26" s="18"/>
      <c r="H26" s="18"/>
    </row>
    <row r="27" spans="1:8" ht="42.75" customHeight="1" x14ac:dyDescent="0.25">
      <c r="A27" s="6">
        <v>14</v>
      </c>
      <c r="B27" s="7" t="s">
        <v>98</v>
      </c>
      <c r="C27" s="7" t="s">
        <v>99</v>
      </c>
      <c r="D27" s="7" t="s">
        <v>100</v>
      </c>
      <c r="E27" s="17" t="s">
        <v>101</v>
      </c>
      <c r="F27" s="8" t="s">
        <v>19</v>
      </c>
      <c r="G27" s="17" t="s">
        <v>102</v>
      </c>
      <c r="H27" s="17" t="s">
        <v>103</v>
      </c>
    </row>
    <row r="28" spans="1:8" ht="42.75" customHeight="1" x14ac:dyDescent="0.25">
      <c r="A28" s="6">
        <v>15</v>
      </c>
      <c r="B28" s="7" t="s">
        <v>98</v>
      </c>
      <c r="C28" s="7" t="s">
        <v>104</v>
      </c>
      <c r="D28" s="7" t="s">
        <v>105</v>
      </c>
      <c r="E28" s="17" t="s">
        <v>106</v>
      </c>
      <c r="F28" s="8" t="s">
        <v>19</v>
      </c>
      <c r="G28" s="17" t="s">
        <v>107</v>
      </c>
      <c r="H28" s="17" t="s">
        <v>108</v>
      </c>
    </row>
    <row r="29" spans="1:8" ht="30" customHeight="1" x14ac:dyDescent="0.25">
      <c r="A29" s="6">
        <v>16</v>
      </c>
      <c r="B29" s="7" t="s">
        <v>98</v>
      </c>
      <c r="C29" s="7" t="s">
        <v>109</v>
      </c>
      <c r="D29" s="7" t="s">
        <v>110</v>
      </c>
      <c r="E29" s="17" t="s">
        <v>111</v>
      </c>
      <c r="F29" s="8" t="s">
        <v>19</v>
      </c>
      <c r="G29" s="17" t="s">
        <v>107</v>
      </c>
      <c r="H29" s="17" t="s">
        <v>112</v>
      </c>
    </row>
    <row r="30" spans="1:8" x14ac:dyDescent="0.25">
      <c r="A30" s="18" t="s">
        <v>113</v>
      </c>
      <c r="B30" s="18"/>
      <c r="C30" s="18"/>
      <c r="D30" s="18"/>
      <c r="E30" s="18"/>
      <c r="F30" s="18"/>
      <c r="G30" s="18"/>
      <c r="H30" s="18"/>
    </row>
    <row r="31" spans="1:8" ht="42.75" customHeight="1" x14ac:dyDescent="0.25">
      <c r="A31" s="6">
        <v>17</v>
      </c>
      <c r="B31" s="7" t="s">
        <v>114</v>
      </c>
      <c r="C31" s="7" t="s">
        <v>115</v>
      </c>
      <c r="D31" s="7" t="s">
        <v>116</v>
      </c>
      <c r="E31" s="17" t="s">
        <v>117</v>
      </c>
      <c r="F31" s="8" t="s">
        <v>19</v>
      </c>
      <c r="G31" s="17" t="s">
        <v>118</v>
      </c>
      <c r="H31" s="17" t="s">
        <v>119</v>
      </c>
    </row>
    <row r="32" spans="1:8" ht="42.75" customHeight="1" x14ac:dyDescent="0.25">
      <c r="A32" s="6">
        <v>18</v>
      </c>
      <c r="B32" s="7" t="s">
        <v>114</v>
      </c>
      <c r="C32" s="7" t="s">
        <v>120</v>
      </c>
      <c r="D32" s="7" t="s">
        <v>121</v>
      </c>
      <c r="E32" s="17" t="s">
        <v>122</v>
      </c>
      <c r="F32" s="8" t="s">
        <v>19</v>
      </c>
      <c r="G32" s="17" t="s">
        <v>123</v>
      </c>
      <c r="H32" s="17" t="s">
        <v>124</v>
      </c>
    </row>
    <row r="33" spans="1:8" ht="30" customHeight="1" x14ac:dyDescent="0.25">
      <c r="A33" s="6">
        <v>19</v>
      </c>
      <c r="B33" s="7" t="s">
        <v>114</v>
      </c>
      <c r="C33" s="7" t="s">
        <v>125</v>
      </c>
      <c r="D33" s="7" t="s">
        <v>126</v>
      </c>
      <c r="E33" s="17" t="s">
        <v>127</v>
      </c>
      <c r="F33" s="8" t="s">
        <v>19</v>
      </c>
      <c r="G33" s="17" t="s">
        <v>128</v>
      </c>
      <c r="H33" s="8" t="s">
        <v>42</v>
      </c>
    </row>
    <row r="34" spans="1:8" x14ac:dyDescent="0.25">
      <c r="A34" s="18" t="s">
        <v>129</v>
      </c>
      <c r="B34" s="18"/>
      <c r="C34" s="18"/>
      <c r="D34" s="18"/>
      <c r="E34" s="18"/>
      <c r="F34" s="18"/>
      <c r="G34" s="18"/>
      <c r="H34" s="18"/>
    </row>
    <row r="35" spans="1:8" ht="55.5" customHeight="1" x14ac:dyDescent="0.25">
      <c r="A35" s="6">
        <v>20</v>
      </c>
      <c r="B35" s="7" t="s">
        <v>130</v>
      </c>
      <c r="C35" s="7" t="s">
        <v>131</v>
      </c>
      <c r="D35" s="7" t="s">
        <v>132</v>
      </c>
      <c r="E35" s="17" t="s">
        <v>133</v>
      </c>
      <c r="F35" s="8" t="s">
        <v>19</v>
      </c>
      <c r="G35" s="17" t="s">
        <v>134</v>
      </c>
      <c r="H35" s="17" t="s">
        <v>135</v>
      </c>
    </row>
    <row r="36" spans="1:8" x14ac:dyDescent="0.25">
      <c r="A36" s="18" t="s">
        <v>136</v>
      </c>
      <c r="B36" s="18"/>
      <c r="C36" s="18"/>
      <c r="D36" s="18"/>
      <c r="E36" s="18"/>
      <c r="F36" s="18"/>
      <c r="G36" s="18"/>
      <c r="H36" s="18"/>
    </row>
    <row r="37" spans="1:8" ht="30" customHeight="1" x14ac:dyDescent="0.25">
      <c r="A37" s="6">
        <v>21</v>
      </c>
      <c r="B37" s="7" t="s">
        <v>137</v>
      </c>
      <c r="C37" s="7" t="s">
        <v>138</v>
      </c>
      <c r="D37" s="7" t="s">
        <v>139</v>
      </c>
      <c r="E37" s="17" t="s">
        <v>140</v>
      </c>
      <c r="F37" s="8" t="s">
        <v>19</v>
      </c>
      <c r="G37" s="17" t="s">
        <v>141</v>
      </c>
      <c r="H37" s="17" t="s">
        <v>142</v>
      </c>
    </row>
    <row r="38" spans="1:8" ht="42.75" customHeight="1" x14ac:dyDescent="0.25">
      <c r="A38" s="6">
        <v>22</v>
      </c>
      <c r="B38" s="7" t="s">
        <v>137</v>
      </c>
      <c r="C38" s="7" t="s">
        <v>143</v>
      </c>
      <c r="D38" s="7" t="s">
        <v>144</v>
      </c>
      <c r="E38" s="17" t="s">
        <v>145</v>
      </c>
      <c r="F38" s="8" t="s">
        <v>19</v>
      </c>
      <c r="G38" s="17" t="s">
        <v>146</v>
      </c>
      <c r="H38" s="17" t="s">
        <v>147</v>
      </c>
    </row>
    <row r="39" spans="1:8" x14ac:dyDescent="0.25">
      <c r="A39" s="18" t="s">
        <v>148</v>
      </c>
      <c r="B39" s="18"/>
      <c r="C39" s="18"/>
      <c r="D39" s="18"/>
      <c r="E39" s="18"/>
      <c r="F39" s="18"/>
      <c r="G39" s="18"/>
      <c r="H39" s="18"/>
    </row>
    <row r="40" spans="1:8" ht="55.5" customHeight="1" x14ac:dyDescent="0.25">
      <c r="A40" s="6">
        <v>23</v>
      </c>
      <c r="B40" s="7" t="s">
        <v>149</v>
      </c>
      <c r="C40" s="7" t="s">
        <v>150</v>
      </c>
      <c r="D40" s="7" t="s">
        <v>151</v>
      </c>
      <c r="E40" s="17" t="s">
        <v>152</v>
      </c>
      <c r="F40" s="8"/>
      <c r="G40" s="17" t="s">
        <v>153</v>
      </c>
      <c r="H40" s="17" t="s">
        <v>154</v>
      </c>
    </row>
    <row r="41" spans="1:8" x14ac:dyDescent="0.25">
      <c r="A41" s="18" t="s">
        <v>155</v>
      </c>
      <c r="B41" s="18"/>
      <c r="C41" s="18"/>
      <c r="D41" s="18"/>
      <c r="E41" s="18"/>
      <c r="F41" s="18"/>
      <c r="G41" s="18"/>
      <c r="H41" s="18"/>
    </row>
    <row r="42" spans="1:8" ht="55.5" customHeight="1" x14ac:dyDescent="0.25">
      <c r="A42" s="6">
        <v>24</v>
      </c>
      <c r="B42" s="7" t="s">
        <v>156</v>
      </c>
      <c r="C42" s="7" t="s">
        <v>157</v>
      </c>
      <c r="D42" s="7" t="s">
        <v>158</v>
      </c>
      <c r="E42" s="17" t="s">
        <v>159</v>
      </c>
      <c r="F42" s="8"/>
      <c r="G42" s="8" t="s">
        <v>58</v>
      </c>
      <c r="H42" s="8" t="s">
        <v>160</v>
      </c>
    </row>
  </sheetData>
  <mergeCells count="13">
    <mergeCell ref="A1:H1"/>
    <mergeCell ref="A2:H2"/>
    <mergeCell ref="A3:H3"/>
    <mergeCell ref="A9:H9"/>
    <mergeCell ref="A17:H17"/>
    <mergeCell ref="A36:H36"/>
    <mergeCell ref="A39:H39"/>
    <mergeCell ref="A41:H41"/>
    <mergeCell ref="A21:H21"/>
    <mergeCell ref="A24:H24"/>
    <mergeCell ref="A26:H26"/>
    <mergeCell ref="A30:H30"/>
    <mergeCell ref="A34:H34"/>
  </mergeCells>
  <conditionalFormatting sqref="F9:F42">
    <cfRule type="cellIs" dxfId="3" priority="2" operator="equal">
      <formula>"Yes"</formula>
    </cfRule>
    <cfRule type="cellIs" dxfId="2" priority="3" operator="equal">
      <formula>"No"</formula>
    </cfRule>
  </conditionalFormatting>
  <dataValidations count="1">
    <dataValidation type="list" allowBlank="1" sqref="F9:F42">
      <formula1>"Yes,No"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showGridLines="0" topLeftCell="C1" zoomScaleNormal="100" workbookViewId="0">
      <pane ySplit="7" topLeftCell="A30" activePane="bottomLeft" state="frozen"/>
      <selection pane="bottomLeft" activeCell="F12" sqref="F12"/>
    </sheetView>
  </sheetViews>
  <sheetFormatPr defaultColWidth="8.7109375" defaultRowHeight="15" x14ac:dyDescent="0.25"/>
  <cols>
    <col min="1" max="1" width="7" customWidth="1"/>
    <col min="2" max="2" width="22" customWidth="1"/>
    <col min="3" max="3" width="48" customWidth="1"/>
    <col min="4" max="4" width="42" customWidth="1"/>
    <col min="5" max="5" width="50" customWidth="1"/>
    <col min="6" max="6" width="16" customWidth="1"/>
    <col min="7" max="7" width="34" customWidth="1"/>
    <col min="8" max="8" width="62" customWidth="1"/>
    <col min="9" max="9" width="3" customWidth="1"/>
    <col min="10" max="10" width="22" customWidth="1"/>
    <col min="11" max="11" width="10" customWidth="1"/>
  </cols>
  <sheetData>
    <row r="1" spans="1:11" ht="25.5" customHeight="1" x14ac:dyDescent="0.25">
      <c r="A1" s="19" t="s">
        <v>161</v>
      </c>
      <c r="B1" s="19"/>
      <c r="C1" s="19"/>
      <c r="D1" s="19"/>
      <c r="E1" s="19"/>
      <c r="F1" s="19"/>
      <c r="G1" s="19"/>
      <c r="H1" s="19"/>
    </row>
    <row r="2" spans="1:11" x14ac:dyDescent="0.25">
      <c r="A2" s="20" t="s">
        <v>162</v>
      </c>
      <c r="B2" s="20"/>
      <c r="C2" s="20"/>
      <c r="D2" s="20"/>
      <c r="E2" s="20"/>
      <c r="F2" s="20"/>
      <c r="G2" s="20"/>
      <c r="H2" s="20"/>
    </row>
    <row r="3" spans="1:11" ht="42" customHeight="1" x14ac:dyDescent="0.25">
      <c r="A3" s="21" t="s">
        <v>163</v>
      </c>
      <c r="B3" s="21"/>
      <c r="C3" s="21"/>
      <c r="D3" s="21"/>
      <c r="E3" s="21"/>
      <c r="F3" s="21"/>
      <c r="G3" s="21"/>
      <c r="H3" s="21"/>
    </row>
    <row r="5" spans="1:11" x14ac:dyDescent="0.25">
      <c r="A5" s="1"/>
      <c r="J5" s="1" t="s">
        <v>3</v>
      </c>
    </row>
    <row r="6" spans="1:11" x14ac:dyDescent="0.25">
      <c r="J6" s="2" t="s">
        <v>4</v>
      </c>
      <c r="K6" s="3">
        <f>COUNT(A9:A37)</f>
        <v>24</v>
      </c>
    </row>
    <row r="7" spans="1:11" ht="36" customHeight="1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J7" s="2" t="s">
        <v>13</v>
      </c>
      <c r="K7" s="3">
        <f>COUNTIF(F9:F37,"Yes")</f>
        <v>6</v>
      </c>
    </row>
    <row r="8" spans="1:11" ht="24" customHeight="1" x14ac:dyDescent="0.25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J8" s="2" t="s">
        <v>22</v>
      </c>
      <c r="K8" s="3">
        <f>COUNTIF(F9:F37,"No")</f>
        <v>0</v>
      </c>
    </row>
    <row r="9" spans="1:11" x14ac:dyDescent="0.25">
      <c r="A9" s="18" t="s">
        <v>164</v>
      </c>
      <c r="B9" s="18"/>
      <c r="C9" s="18"/>
      <c r="D9" s="18"/>
      <c r="E9" s="18"/>
      <c r="F9" s="18"/>
      <c r="G9" s="18"/>
      <c r="H9" s="18"/>
      <c r="J9" s="2" t="s">
        <v>24</v>
      </c>
      <c r="K9" s="3">
        <f>K6-K7-K8</f>
        <v>18</v>
      </c>
    </row>
    <row r="10" spans="1:11" ht="69" customHeight="1" x14ac:dyDescent="0.25">
      <c r="A10" s="6">
        <v>1</v>
      </c>
      <c r="B10" s="7" t="s">
        <v>165</v>
      </c>
      <c r="C10" s="7" t="s">
        <v>166</v>
      </c>
      <c r="D10" s="7" t="s">
        <v>167</v>
      </c>
      <c r="E10" s="8" t="s">
        <v>168</v>
      </c>
      <c r="F10" s="8"/>
      <c r="G10" s="8" t="s">
        <v>169</v>
      </c>
      <c r="H10" s="8" t="s">
        <v>170</v>
      </c>
      <c r="J10" s="2" t="s">
        <v>32</v>
      </c>
      <c r="K10" s="9">
        <f>IF(K6=0,0,K7/K6)</f>
        <v>0.25</v>
      </c>
    </row>
    <row r="11" spans="1:11" ht="30" customHeight="1" x14ac:dyDescent="0.25">
      <c r="A11" s="6">
        <v>2</v>
      </c>
      <c r="B11" s="7" t="s">
        <v>165</v>
      </c>
      <c r="C11" s="7" t="s">
        <v>171</v>
      </c>
      <c r="D11" s="7" t="s">
        <v>172</v>
      </c>
      <c r="E11" s="8" t="s">
        <v>173</v>
      </c>
      <c r="F11" s="8" t="s">
        <v>19</v>
      </c>
      <c r="G11" s="8" t="s">
        <v>174</v>
      </c>
      <c r="H11" s="8" t="s">
        <v>175</v>
      </c>
    </row>
    <row r="12" spans="1:11" ht="69" customHeight="1" x14ac:dyDescent="0.25">
      <c r="A12" s="6">
        <v>3</v>
      </c>
      <c r="B12" s="7" t="s">
        <v>165</v>
      </c>
      <c r="C12" s="7" t="s">
        <v>176</v>
      </c>
      <c r="D12" s="7" t="s">
        <v>177</v>
      </c>
      <c r="E12" s="8" t="s">
        <v>178</v>
      </c>
      <c r="F12" s="8"/>
      <c r="G12" s="8" t="s">
        <v>58</v>
      </c>
      <c r="H12" s="8" t="s">
        <v>179</v>
      </c>
    </row>
    <row r="13" spans="1:11" ht="30" customHeight="1" x14ac:dyDescent="0.25">
      <c r="A13" s="6">
        <v>4</v>
      </c>
      <c r="B13" s="7" t="s">
        <v>165</v>
      </c>
      <c r="C13" s="7" t="s">
        <v>180</v>
      </c>
      <c r="D13" s="7" t="s">
        <v>181</v>
      </c>
      <c r="E13" s="8" t="s">
        <v>182</v>
      </c>
      <c r="F13" s="8" t="s">
        <v>19</v>
      </c>
      <c r="G13" s="8" t="s">
        <v>183</v>
      </c>
      <c r="H13" s="8" t="s">
        <v>184</v>
      </c>
    </row>
    <row r="14" spans="1:11" ht="30" customHeight="1" x14ac:dyDescent="0.25">
      <c r="A14" s="6">
        <v>5</v>
      </c>
      <c r="B14" s="7" t="s">
        <v>165</v>
      </c>
      <c r="C14" s="7" t="s">
        <v>185</v>
      </c>
      <c r="D14" s="7" t="s">
        <v>186</v>
      </c>
      <c r="E14" s="8" t="s">
        <v>187</v>
      </c>
      <c r="F14" s="8" t="s">
        <v>19</v>
      </c>
      <c r="G14" s="8" t="s">
        <v>188</v>
      </c>
      <c r="H14" s="8" t="s">
        <v>189</v>
      </c>
    </row>
    <row r="15" spans="1:11" ht="30" customHeight="1" x14ac:dyDescent="0.25">
      <c r="A15" s="6">
        <v>6</v>
      </c>
      <c r="B15" s="7" t="s">
        <v>165</v>
      </c>
      <c r="C15" s="7" t="s">
        <v>190</v>
      </c>
      <c r="D15" s="7" t="s">
        <v>191</v>
      </c>
      <c r="E15" s="8" t="s">
        <v>192</v>
      </c>
      <c r="F15" s="8"/>
      <c r="G15" s="8" t="s">
        <v>193</v>
      </c>
      <c r="H15" s="8" t="s">
        <v>194</v>
      </c>
    </row>
    <row r="16" spans="1:11" ht="69" customHeight="1" x14ac:dyDescent="0.25">
      <c r="A16" s="6">
        <v>7</v>
      </c>
      <c r="B16" s="7" t="s">
        <v>165</v>
      </c>
      <c r="C16" s="7" t="s">
        <v>195</v>
      </c>
      <c r="D16" s="7" t="s">
        <v>196</v>
      </c>
      <c r="E16" s="8" t="s">
        <v>197</v>
      </c>
      <c r="F16" s="8"/>
      <c r="G16" s="8" t="s">
        <v>198</v>
      </c>
      <c r="H16" s="8" t="s">
        <v>199</v>
      </c>
    </row>
    <row r="17" spans="1:8" x14ac:dyDescent="0.25">
      <c r="A17" s="18" t="s">
        <v>200</v>
      </c>
      <c r="B17" s="18"/>
      <c r="C17" s="18"/>
      <c r="D17" s="18"/>
      <c r="E17" s="18"/>
      <c r="F17" s="18"/>
      <c r="G17" s="18"/>
      <c r="H17" s="18"/>
    </row>
    <row r="18" spans="1:8" ht="55.5" customHeight="1" x14ac:dyDescent="0.25">
      <c r="A18" s="6">
        <v>8</v>
      </c>
      <c r="B18" s="7" t="s">
        <v>201</v>
      </c>
      <c r="C18" s="7" t="s">
        <v>202</v>
      </c>
      <c r="D18" s="7" t="s">
        <v>203</v>
      </c>
      <c r="E18" s="8" t="s">
        <v>204</v>
      </c>
      <c r="F18" s="8"/>
      <c r="G18" s="8" t="s">
        <v>205</v>
      </c>
      <c r="H18" s="8" t="s">
        <v>206</v>
      </c>
    </row>
    <row r="19" spans="1:8" ht="30" customHeight="1" x14ac:dyDescent="0.25">
      <c r="A19" s="6">
        <v>9</v>
      </c>
      <c r="B19" s="7" t="s">
        <v>201</v>
      </c>
      <c r="C19" s="7" t="s">
        <v>207</v>
      </c>
      <c r="D19" s="7" t="s">
        <v>208</v>
      </c>
      <c r="E19" s="8" t="s">
        <v>209</v>
      </c>
      <c r="F19" s="8"/>
      <c r="G19" s="8" t="s">
        <v>58</v>
      </c>
      <c r="H19" s="8" t="s">
        <v>210</v>
      </c>
    </row>
    <row r="20" spans="1:8" ht="42.75" customHeight="1" x14ac:dyDescent="0.25">
      <c r="A20" s="6">
        <v>10</v>
      </c>
      <c r="B20" s="7" t="s">
        <v>201</v>
      </c>
      <c r="C20" s="7" t="s">
        <v>211</v>
      </c>
      <c r="D20" s="7" t="s">
        <v>212</v>
      </c>
      <c r="E20" s="8" t="s">
        <v>213</v>
      </c>
      <c r="F20" s="8"/>
      <c r="G20" s="8" t="s">
        <v>58</v>
      </c>
      <c r="H20" s="8" t="s">
        <v>214</v>
      </c>
    </row>
    <row r="21" spans="1:8" ht="55.5" customHeight="1" x14ac:dyDescent="0.25">
      <c r="A21" s="6">
        <v>11</v>
      </c>
      <c r="B21" s="7" t="s">
        <v>215</v>
      </c>
      <c r="C21" s="7" t="s">
        <v>216</v>
      </c>
      <c r="D21" s="7" t="s">
        <v>217</v>
      </c>
      <c r="E21" s="8" t="s">
        <v>218</v>
      </c>
      <c r="F21" s="8"/>
      <c r="G21" s="8" t="s">
        <v>219</v>
      </c>
      <c r="H21" s="8" t="s">
        <v>220</v>
      </c>
    </row>
    <row r="22" spans="1:8" ht="42.75" customHeight="1" x14ac:dyDescent="0.25">
      <c r="A22" s="6">
        <v>12</v>
      </c>
      <c r="B22" s="7" t="s">
        <v>221</v>
      </c>
      <c r="C22" s="7" t="s">
        <v>222</v>
      </c>
      <c r="D22" s="7" t="s">
        <v>223</v>
      </c>
      <c r="E22" s="8" t="s">
        <v>224</v>
      </c>
      <c r="F22" s="8" t="s">
        <v>19</v>
      </c>
      <c r="G22" s="8" t="s">
        <v>225</v>
      </c>
      <c r="H22" s="8" t="s">
        <v>226</v>
      </c>
    </row>
    <row r="23" spans="1:8" x14ac:dyDescent="0.25">
      <c r="A23" s="18" t="s">
        <v>227</v>
      </c>
      <c r="B23" s="18"/>
      <c r="C23" s="18"/>
      <c r="D23" s="18"/>
      <c r="E23" s="18"/>
      <c r="F23" s="18"/>
      <c r="G23" s="18"/>
      <c r="H23" s="18"/>
    </row>
    <row r="24" spans="1:8" ht="30" customHeight="1" x14ac:dyDescent="0.25">
      <c r="A24" s="6">
        <v>13</v>
      </c>
      <c r="B24" s="7" t="s">
        <v>228</v>
      </c>
      <c r="C24" s="7" t="s">
        <v>229</v>
      </c>
      <c r="D24" s="7" t="s">
        <v>230</v>
      </c>
      <c r="E24" s="8" t="s">
        <v>231</v>
      </c>
      <c r="F24" s="8"/>
      <c r="G24" s="8" t="s">
        <v>58</v>
      </c>
      <c r="H24" s="8" t="s">
        <v>232</v>
      </c>
    </row>
    <row r="25" spans="1:8" ht="42.75" customHeight="1" x14ac:dyDescent="0.25">
      <c r="A25" s="6">
        <v>14</v>
      </c>
      <c r="B25" s="7" t="s">
        <v>233</v>
      </c>
      <c r="C25" s="7" t="s">
        <v>234</v>
      </c>
      <c r="D25" s="7" t="s">
        <v>235</v>
      </c>
      <c r="E25" s="8" t="s">
        <v>236</v>
      </c>
      <c r="F25" s="8" t="s">
        <v>19</v>
      </c>
      <c r="G25" s="8" t="s">
        <v>237</v>
      </c>
      <c r="H25" s="8" t="s">
        <v>238</v>
      </c>
    </row>
    <row r="26" spans="1:8" ht="30" customHeight="1" x14ac:dyDescent="0.25">
      <c r="A26" s="6">
        <v>15</v>
      </c>
      <c r="B26" s="7" t="s">
        <v>239</v>
      </c>
      <c r="C26" s="7" t="s">
        <v>240</v>
      </c>
      <c r="D26" s="7" t="s">
        <v>241</v>
      </c>
      <c r="E26" s="8" t="s">
        <v>242</v>
      </c>
      <c r="F26" s="8"/>
      <c r="G26" s="8" t="s">
        <v>58</v>
      </c>
      <c r="H26" s="8" t="s">
        <v>243</v>
      </c>
    </row>
    <row r="27" spans="1:8" ht="55.5" customHeight="1" x14ac:dyDescent="0.25">
      <c r="A27" s="6">
        <v>16</v>
      </c>
      <c r="B27" s="7" t="s">
        <v>244</v>
      </c>
      <c r="C27" s="7" t="s">
        <v>245</v>
      </c>
      <c r="D27" s="7" t="s">
        <v>246</v>
      </c>
      <c r="E27" s="8" t="s">
        <v>247</v>
      </c>
      <c r="F27" s="8"/>
      <c r="G27" s="8" t="s">
        <v>58</v>
      </c>
      <c r="H27" s="8" t="s">
        <v>248</v>
      </c>
    </row>
    <row r="28" spans="1:8" ht="55.5" customHeight="1" x14ac:dyDescent="0.25">
      <c r="A28" s="6">
        <v>17</v>
      </c>
      <c r="B28" s="7" t="s">
        <v>249</v>
      </c>
      <c r="C28" s="7" t="s">
        <v>250</v>
      </c>
      <c r="D28" s="7" t="s">
        <v>251</v>
      </c>
      <c r="E28" s="8" t="s">
        <v>252</v>
      </c>
      <c r="F28" s="8"/>
      <c r="G28" s="8" t="s">
        <v>58</v>
      </c>
      <c r="H28" s="8" t="s">
        <v>253</v>
      </c>
    </row>
    <row r="29" spans="1:8" x14ac:dyDescent="0.25">
      <c r="A29" s="18" t="s">
        <v>254</v>
      </c>
      <c r="B29" s="18"/>
      <c r="C29" s="18"/>
      <c r="D29" s="18"/>
      <c r="E29" s="18"/>
      <c r="F29" s="18"/>
      <c r="G29" s="18"/>
      <c r="H29" s="18"/>
    </row>
    <row r="30" spans="1:8" ht="42.75" customHeight="1" x14ac:dyDescent="0.25">
      <c r="A30" s="6">
        <v>18</v>
      </c>
      <c r="B30" s="7" t="s">
        <v>255</v>
      </c>
      <c r="C30" s="7" t="s">
        <v>256</v>
      </c>
      <c r="D30" s="7" t="s">
        <v>257</v>
      </c>
      <c r="E30" s="8" t="s">
        <v>258</v>
      </c>
      <c r="F30" s="8"/>
      <c r="G30" s="8" t="s">
        <v>259</v>
      </c>
      <c r="H30" s="8" t="s">
        <v>260</v>
      </c>
    </row>
    <row r="31" spans="1:8" x14ac:dyDescent="0.25">
      <c r="A31" s="18" t="s">
        <v>261</v>
      </c>
      <c r="B31" s="18"/>
      <c r="C31" s="18"/>
      <c r="D31" s="18"/>
      <c r="E31" s="18"/>
      <c r="F31" s="18"/>
      <c r="G31" s="18"/>
      <c r="H31" s="18"/>
    </row>
    <row r="32" spans="1:8" ht="42.75" customHeight="1" x14ac:dyDescent="0.25">
      <c r="A32" s="6">
        <v>19</v>
      </c>
      <c r="B32" s="7" t="s">
        <v>262</v>
      </c>
      <c r="C32" s="7" t="s">
        <v>263</v>
      </c>
      <c r="D32" s="7" t="s">
        <v>264</v>
      </c>
      <c r="E32" s="8" t="s">
        <v>265</v>
      </c>
      <c r="F32" s="8" t="s">
        <v>19</v>
      </c>
      <c r="G32" s="8" t="s">
        <v>266</v>
      </c>
      <c r="H32" s="8" t="s">
        <v>267</v>
      </c>
    </row>
    <row r="33" spans="1:8" ht="42.75" customHeight="1" x14ac:dyDescent="0.25">
      <c r="A33" s="6">
        <v>20</v>
      </c>
      <c r="B33" s="7" t="s">
        <v>268</v>
      </c>
      <c r="C33" s="7" t="s">
        <v>269</v>
      </c>
      <c r="D33" s="7" t="s">
        <v>270</v>
      </c>
      <c r="E33" s="8" t="s">
        <v>271</v>
      </c>
      <c r="F33" s="8"/>
      <c r="G33" s="8" t="s">
        <v>58</v>
      </c>
      <c r="H33" s="8" t="s">
        <v>272</v>
      </c>
    </row>
    <row r="34" spans="1:8" ht="42.75" customHeight="1" x14ac:dyDescent="0.25">
      <c r="A34" s="6">
        <v>21</v>
      </c>
      <c r="B34" s="7" t="s">
        <v>273</v>
      </c>
      <c r="C34" s="7" t="s">
        <v>274</v>
      </c>
      <c r="D34" s="7" t="s">
        <v>275</v>
      </c>
      <c r="E34" s="8" t="s">
        <v>276</v>
      </c>
      <c r="F34" s="8"/>
      <c r="G34" s="8" t="s">
        <v>58</v>
      </c>
      <c r="H34" s="8" t="s">
        <v>277</v>
      </c>
    </row>
    <row r="35" spans="1:8" ht="69" customHeight="1" x14ac:dyDescent="0.25">
      <c r="A35" s="6">
        <v>22</v>
      </c>
      <c r="B35" s="7" t="s">
        <v>278</v>
      </c>
      <c r="C35" s="7" t="s">
        <v>279</v>
      </c>
      <c r="D35" s="7" t="s">
        <v>280</v>
      </c>
      <c r="E35" s="8" t="s">
        <v>281</v>
      </c>
      <c r="F35" s="8"/>
      <c r="G35" s="8" t="s">
        <v>58</v>
      </c>
      <c r="H35" s="8" t="s">
        <v>282</v>
      </c>
    </row>
    <row r="36" spans="1:8" ht="42.75" customHeight="1" x14ac:dyDescent="0.25">
      <c r="A36" s="6">
        <v>23</v>
      </c>
      <c r="B36" s="7" t="s">
        <v>283</v>
      </c>
      <c r="C36" s="7" t="s">
        <v>284</v>
      </c>
      <c r="D36" s="7" t="s">
        <v>285</v>
      </c>
      <c r="E36" s="8" t="s">
        <v>286</v>
      </c>
      <c r="F36" s="8"/>
      <c r="G36" s="8" t="s">
        <v>58</v>
      </c>
      <c r="H36" s="8" t="s">
        <v>282</v>
      </c>
    </row>
    <row r="37" spans="1:8" ht="30" customHeight="1" x14ac:dyDescent="0.25">
      <c r="A37" s="6">
        <v>24</v>
      </c>
      <c r="B37" s="7" t="s">
        <v>287</v>
      </c>
      <c r="C37" s="7" t="s">
        <v>288</v>
      </c>
      <c r="D37" s="7" t="s">
        <v>289</v>
      </c>
      <c r="E37" s="8" t="s">
        <v>290</v>
      </c>
      <c r="F37" s="8"/>
      <c r="G37" s="8" t="s">
        <v>58</v>
      </c>
      <c r="H37" s="8" t="s">
        <v>291</v>
      </c>
    </row>
  </sheetData>
  <mergeCells count="8">
    <mergeCell ref="A23:H23"/>
    <mergeCell ref="A29:H29"/>
    <mergeCell ref="A31:H31"/>
    <mergeCell ref="A1:H1"/>
    <mergeCell ref="A2:H2"/>
    <mergeCell ref="A3:H3"/>
    <mergeCell ref="A9:H9"/>
    <mergeCell ref="A17:H17"/>
  </mergeCells>
  <conditionalFormatting sqref="F9:F37">
    <cfRule type="cellIs" dxfId="1" priority="2" operator="equal">
      <formula>"Yes"</formula>
    </cfRule>
    <cfRule type="cellIs" dxfId="0" priority="3" operator="equal">
      <formula>"No"</formula>
    </cfRule>
  </conditionalFormatting>
  <dataValidations count="1">
    <dataValidation type="list" allowBlank="1" sqref="F9:F37">
      <formula1>"Yes,No"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1" customWidth="1"/>
    <col min="3" max="3" width="28" customWidth="1"/>
    <col min="4" max="4" width="75" customWidth="1"/>
    <col min="5" max="5" width="60" customWidth="1"/>
  </cols>
  <sheetData>
    <row r="1" spans="1:5" ht="18" x14ac:dyDescent="0.25">
      <c r="A1" s="10" t="s">
        <v>292</v>
      </c>
    </row>
    <row r="3" spans="1:5" x14ac:dyDescent="0.25">
      <c r="A3" s="11" t="s">
        <v>293</v>
      </c>
      <c r="B3" s="11" t="s">
        <v>294</v>
      </c>
      <c r="C3" s="11" t="s">
        <v>295</v>
      </c>
      <c r="D3" s="11" t="s">
        <v>296</v>
      </c>
      <c r="E3" s="11" t="s">
        <v>297</v>
      </c>
    </row>
    <row r="4" spans="1:5" ht="55.5" customHeight="1" x14ac:dyDescent="0.25">
      <c r="A4" s="12">
        <v>1</v>
      </c>
      <c r="B4" s="13" t="s">
        <v>298</v>
      </c>
      <c r="C4" s="12" t="s">
        <v>299</v>
      </c>
      <c r="D4" s="12" t="s">
        <v>300</v>
      </c>
      <c r="E4" s="12" t="s">
        <v>301</v>
      </c>
    </row>
    <row r="5" spans="1:5" ht="42.75" customHeight="1" x14ac:dyDescent="0.25">
      <c r="A5" s="12">
        <v>2</v>
      </c>
      <c r="B5" s="13" t="s">
        <v>298</v>
      </c>
      <c r="C5" s="12" t="s">
        <v>302</v>
      </c>
      <c r="D5" s="12" t="s">
        <v>303</v>
      </c>
      <c r="E5" s="12" t="s">
        <v>304</v>
      </c>
    </row>
    <row r="6" spans="1:5" ht="30" customHeight="1" x14ac:dyDescent="0.25">
      <c r="A6" s="12">
        <v>3</v>
      </c>
      <c r="B6" s="13" t="s">
        <v>298</v>
      </c>
      <c r="C6" s="12" t="s">
        <v>305</v>
      </c>
      <c r="D6" s="12" t="s">
        <v>306</v>
      </c>
      <c r="E6" s="12" t="s">
        <v>307</v>
      </c>
    </row>
    <row r="7" spans="1:5" ht="42.75" customHeight="1" x14ac:dyDescent="0.25">
      <c r="A7" s="12">
        <v>4</v>
      </c>
      <c r="B7" s="13" t="s">
        <v>298</v>
      </c>
      <c r="C7" s="12" t="s">
        <v>308</v>
      </c>
      <c r="D7" s="12" t="s">
        <v>309</v>
      </c>
      <c r="E7" s="12" t="s">
        <v>310</v>
      </c>
    </row>
    <row r="8" spans="1:5" ht="30" customHeight="1" x14ac:dyDescent="0.25">
      <c r="A8" s="12">
        <v>5</v>
      </c>
      <c r="B8" s="13" t="s">
        <v>298</v>
      </c>
      <c r="C8" s="12" t="s">
        <v>311</v>
      </c>
      <c r="D8" s="12" t="s">
        <v>312</v>
      </c>
      <c r="E8" s="12" t="s">
        <v>313</v>
      </c>
    </row>
    <row r="9" spans="1:5" ht="55.5" customHeight="1" x14ac:dyDescent="0.25">
      <c r="A9" s="12">
        <v>6</v>
      </c>
      <c r="B9" s="14" t="s">
        <v>314</v>
      </c>
      <c r="C9" s="12" t="s">
        <v>315</v>
      </c>
      <c r="D9" s="12" t="s">
        <v>316</v>
      </c>
      <c r="E9" s="12" t="s">
        <v>317</v>
      </c>
    </row>
    <row r="10" spans="1:5" ht="30" customHeight="1" x14ac:dyDescent="0.25">
      <c r="A10" s="12">
        <v>7</v>
      </c>
      <c r="B10" s="14" t="s">
        <v>314</v>
      </c>
      <c r="C10" s="12" t="s">
        <v>318</v>
      </c>
      <c r="D10" s="12" t="s">
        <v>319</v>
      </c>
      <c r="E10" s="12" t="s">
        <v>320</v>
      </c>
    </row>
    <row r="11" spans="1:5" ht="30" customHeight="1" x14ac:dyDescent="0.25">
      <c r="A11" s="12">
        <v>8</v>
      </c>
      <c r="B11" s="14" t="s">
        <v>314</v>
      </c>
      <c r="C11" s="12" t="s">
        <v>321</v>
      </c>
      <c r="D11" s="12" t="s">
        <v>322</v>
      </c>
      <c r="E11" s="12" t="s">
        <v>323</v>
      </c>
    </row>
    <row r="12" spans="1:5" ht="42.75" customHeight="1" x14ac:dyDescent="0.25">
      <c r="A12" s="12">
        <v>9</v>
      </c>
      <c r="B12" s="14" t="s">
        <v>314</v>
      </c>
      <c r="C12" s="12" t="s">
        <v>324</v>
      </c>
      <c r="D12" s="12" t="s">
        <v>325</v>
      </c>
      <c r="E12" s="12" t="s">
        <v>326</v>
      </c>
    </row>
    <row r="13" spans="1:5" ht="30" customHeight="1" x14ac:dyDescent="0.25">
      <c r="A13" s="12">
        <v>10</v>
      </c>
      <c r="B13" s="14" t="s">
        <v>314</v>
      </c>
      <c r="C13" s="12" t="s">
        <v>327</v>
      </c>
      <c r="D13" s="12" t="s">
        <v>328</v>
      </c>
      <c r="E13" s="12" t="s">
        <v>329</v>
      </c>
    </row>
    <row r="14" spans="1:5" ht="42.75" customHeight="1" x14ac:dyDescent="0.25">
      <c r="A14" s="12">
        <v>11</v>
      </c>
      <c r="B14" s="15" t="s">
        <v>330</v>
      </c>
      <c r="C14" s="12" t="s">
        <v>331</v>
      </c>
      <c r="D14" s="12" t="s">
        <v>332</v>
      </c>
      <c r="E14" s="12" t="s">
        <v>333</v>
      </c>
    </row>
    <row r="15" spans="1:5" ht="42.75" customHeight="1" x14ac:dyDescent="0.25">
      <c r="A15" s="12">
        <v>12</v>
      </c>
      <c r="B15" s="15" t="s">
        <v>330</v>
      </c>
      <c r="C15" s="12" t="s">
        <v>334</v>
      </c>
      <c r="D15" s="12" t="s">
        <v>335</v>
      </c>
      <c r="E15" s="12" t="s">
        <v>336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Technical Specifications</vt:lpstr>
      <vt:lpstr>Scope, Support &amp; Warranty</vt:lpstr>
      <vt:lpstr>Review Notes</vt:lpstr>
      <vt:lpstr>'Scope, Support &amp; Warranty'!Print_Titles</vt:lpstr>
      <vt:lpstr>'Technical Specifications'!Print_Titles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Sarmad Farooq</cp:lastModifiedBy>
  <cp:revision>0</cp:revision>
  <dcterms:created xsi:type="dcterms:W3CDTF">2026-10-19T10:00:38Z</dcterms:created>
  <dcterms:modified xsi:type="dcterms:W3CDTF">2026-10-20T08:07:52Z</dcterms:modified>
  <dc:language>en-US</dc:language>
</cp:coreProperties>
</file>