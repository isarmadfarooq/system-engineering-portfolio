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yyabr\Desktop\Presales-Working-August-2026-Onwards\NUST\Server-RFP-October-2026\"/>
    </mc:Choice>
  </mc:AlternateContent>
  <xr:revisionPtr revIDLastSave="0" documentId="8_{B580A378-78A3-4230-B5A3-C20C29336C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e-Bid Queries" sheetId="1" r:id="rId1"/>
    <sheet name="Summary" sheetId="2" r:id="rId2"/>
  </sheets>
  <definedNames>
    <definedName name="_xlnm._FilterDatabase" localSheetId="0" hidden="1">'Pre-Bid Queries'!$A$5:$I$32</definedName>
    <definedName name="_xlnm.Print_Titles" localSheetId="0">'Pre-Bid Queries'!$5:$5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2" i="2" l="1"/>
  <c r="C12" i="2"/>
  <c r="E12" i="2"/>
  <c r="D12" i="2"/>
</calcChain>
</file>

<file path=xl/sharedStrings.xml><?xml version="1.0" encoding="utf-8"?>
<sst xmlns="http://schemas.openxmlformats.org/spreadsheetml/2006/main" count="217" uniqueCount="133">
  <si>
    <t>PRE-BID QUERIES – PROCUREMENT OF GPU SERVERS FOR ICT DTE NUST H-12 CAMPUS ISLAMABAD (Tender Ref: P158775)</t>
  </si>
  <si>
    <t>Submitted by: Premier Systems (Pvt) Ltd  |  Procuring Agency: NUST (P&amp;LP), P&amp;LP Dte, NUST H-12  |  Pre-bid meeting: Mon 26 Oct 2026, 02:30 PM  |  Clarification deadline (EPADS): Mon 2 Nov 2026  |  Bid submission: Thu 5 Nov 2026, 11:00 AM</t>
  </si>
  <si>
    <t>Legend: yellow columns = RFP page and clause reference; green column = to be filled by NUST. Page numbers follow the RFP footer 'Page X of 85' (PDF viewer page = printed page + 2).</t>
  </si>
  <si>
    <t>S. No</t>
  </si>
  <si>
    <t>Section</t>
  </si>
  <si>
    <t>RFP Page No. (as printed)</t>
  </si>
  <si>
    <t>Clause / Reference</t>
  </si>
  <si>
    <t>RFP Provision (as stated)</t>
  </si>
  <si>
    <t>Query / Clarification Sought</t>
  </si>
  <si>
    <t>Category</t>
  </si>
  <si>
    <t>Priority</t>
  </si>
  <si>
    <t>NUST Response</t>
  </si>
  <si>
    <t>Bid Security</t>
  </si>
  <si>
    <t>High</t>
  </si>
  <si>
    <t>Medium</t>
  </si>
  <si>
    <t>Submission</t>
  </si>
  <si>
    <t>Low</t>
  </si>
  <si>
    <t>Evaluation</t>
  </si>
  <si>
    <t>32-33</t>
  </si>
  <si>
    <t>Evaluation Criteria – Accelerator vendor partnership (5 marks)</t>
  </si>
  <si>
    <t>NVIDIA Partner Network or equivalent: Elite (5), Preferred (3), Registered/member (1).</t>
  </si>
  <si>
    <t>Please confirm whether the bidder's own NPN status is required, or whether the server OEM's or distributor's NVIDIA status may be considered. Is a specific NPN competency (e.g. Compute / AI infrastructure) required?</t>
  </si>
  <si>
    <t>Schedule</t>
  </si>
  <si>
    <t>37, 40, 46</t>
  </si>
  <si>
    <t>Items/Lots; Option-1 Ser 3; Option-2 Ser 3</t>
  </si>
  <si>
    <t>Data-centre GPUs (RTX PRO 6000 Blackwell Server Edition / H200 NVL) to be new, genuine and supplied via OEM channel.</t>
  </si>
  <si>
    <t>Data-centre GPUs are subject to US export regulations and long OEM lead times. Will NUST provide an End-User / End-Use Certificate when required by the OEM? Please confirm that delays caused by export-licence processing beyond the bidder's control will be treated as excusable delay (no liquidated damages), and consider a delivery period of 90-120 days.</t>
  </si>
  <si>
    <t>37, 43, 50</t>
  </si>
  <si>
    <t>Items/Lots – Delivery address; Section-2 Ser 1</t>
  </si>
  <si>
    <t>Delivery address: P&amp;LP Dte, Near NUST MT Area. Installation: 'existing data centre'.</t>
  </si>
  <si>
    <t>Please confirm the installation site (ICT Dte data centre location) and whether goods are to be delivered directly to the data centre rather than to P&amp;LP Dte.</t>
  </si>
  <si>
    <t>Commercial</t>
  </si>
  <si>
    <t>27, 30, 64</t>
  </si>
  <si>
    <t>BDS 9 (ITB 16.1); Eligibility Criteria Row 4; GCC 36</t>
  </si>
  <si>
    <t>Prices in PKR; payment after deduction of income tax and part of sales tax; supplier responsible for taxes until delivery.</t>
  </si>
  <si>
    <t>Please confirm that quoted prices shall be inclusive of all applicable taxes (GST on goods and ICT/provincial sales tax on services) and the withholding rates NUST will apply. Should taxes be shown separately in the price schedule?</t>
  </si>
  <si>
    <t>52</t>
  </si>
  <si>
    <t>Price Schedule</t>
  </si>
  <si>
    <t>One line per item (Unit Price / Total Price). Spec (Section 1 Ser 6) requires bidders to itemize each chargeable subscription.</t>
  </si>
  <si>
    <t>May bidders attach a detailed itemized BOQ (hardware, software subscriptions, services) with the financial bid, with the EPADS price schedule carrying the total per option? Which prevails in case of discrepancy?</t>
  </si>
  <si>
    <t>11, 27</t>
  </si>
  <si>
    <t>ITB 15.6; BDS 8</t>
  </si>
  <si>
    <t>Prices fixed; adjustable price bids rejected.</t>
  </si>
  <si>
    <t>Given that hardware and subscriptions are USD-denominated and imported, will NUST consider an exchange-rate variation clause if PKR/USD moves beyond a set band (e.g. ±3%) between bid submission and LC/payment?</t>
  </si>
  <si>
    <t>63, 68</t>
  </si>
  <si>
    <t>GCC 32; SCC (GC Clause 32)</t>
  </si>
  <si>
    <t>Payment 'according to the actual invoice or running bills ... within the time given in the conditions of the contract'. No milestones or payment period stated.</t>
  </si>
  <si>
    <t>Please specify payment milestones and the payment period. We propose: 70% on delivery and inspection, 30% on installation, commissioning and acceptance, payable within 30 days of invoice. Is advance payment against a bank guarantee possible?</t>
  </si>
  <si>
    <t>61-62, 68</t>
  </si>
  <si>
    <t>GCC 23; SCC (GC Clause 23)</t>
  </si>
  <si>
    <t>Performance guarantee 5% of contract price as Pay Order; discharged 30 days after completion of performance obligations including warranty (GCC 23.5).</t>
  </si>
  <si>
    <t>(a) Is a bank guarantee acceptable instead of a Pay Order? (b) Since GCC 23.5 links release to warranty completion, the 5% would be held for 3 years. Please confirm release on acceptance, or allow conversion to a warranty bank guarantee. (c) GCC 23.6 states the bid security shall not be substituted with the Performance Guarantee; please confirm when the successful bidder's bid security will be returned (ITB 18.8).</t>
  </si>
  <si>
    <t>Contractual</t>
  </si>
  <si>
    <t>41, 48</t>
  </si>
  <si>
    <t>Technical – Site</t>
  </si>
  <si>
    <t>39, 43, 45</t>
  </si>
  <si>
    <t>Option-1 Ser 1; Option-2 Ser 1; Section-2 Ser 1</t>
  </si>
  <si>
    <t>Racking into existing hot/cold-aisle data centre; blanking panels to be provided.</t>
  </si>
  <si>
    <t>Please share: rack make/model and usable depth (mm), available rack units, power available per rack (kW), PDU make and outlet type (C13/C19), and whether A/B feeds are on separate UPS. A 4 x 600 W GPU server can draw roughly 3.5-4.5 kW; please confirm the rack can support this.</t>
  </si>
  <si>
    <t>Technical</t>
  </si>
  <si>
    <t>45</t>
  </si>
  <si>
    <t>Option-2 Ser 1 (also relevant to Option-1)</t>
  </si>
  <si>
    <t>Bidder to state OEM-supported maximum inlet (cold-aisle) temperature.</t>
  </si>
  <si>
    <t>Please share the current cold-aisle supply temperature and humidity in NUST's data centre so that the offered configuration can be validated by the OEM for continuous full-TDP operation.</t>
  </si>
  <si>
    <t>41, 47</t>
  </si>
  <si>
    <t>Option-1 Ser 8; Option-2 Ser 8 (Power supplies)</t>
  </si>
  <si>
    <t>Minimum N+1 PSU redundancy at full load; design shall support independent A and B feeds.</t>
  </si>
  <si>
    <t>N+1 and A/B feed redundancy are different requirements. With A/B feeds, losing one feed removes half the PSUs, which requires N+N (grid) redundancy. Please confirm whether N+1 is sufficient, or whether full-load operation on a single feed (N+N) is required.</t>
  </si>
  <si>
    <t>Technical – Hardware</t>
  </si>
  <si>
    <t>39, 45</t>
  </si>
  <si>
    <t>Option-1 Ser 1; Option-2 Ser 1</t>
  </si>
  <si>
    <t>Dual Intel Xeon 6 or 5th Gen Xeon Scalable, minimum 48 physical cores each.</t>
  </si>
  <si>
    <t>Will AMD EPYC 9004/9005 processors with equal or higher core count be accepted as equivalent? Many OEM-certified GPU platforms are offered on both, and allowing either would increase competition.</t>
  </si>
  <si>
    <t>40, 45</t>
  </si>
  <si>
    <t>Option-1 Ser 2 (Qty 32, '64 Gb x 32'); Option-2 Ser 2</t>
  </si>
  <si>
    <t>Minimum 2 TB DDR5 ECC RDIMM 'operating at 4800 MT/s or higher', module size/count not restricted.</t>
  </si>
  <si>
    <t>On 5th Gen Xeon (8 channels/socket), 32 DIMMs means 2 DIMMs per channel, which runs at 4400 MT/s. On Xeon 6 (12-channel) platforms, 2 TB requires different module sizes (e.g. 16 x 128 GB). Please confirm whether 4800 MT/s refers to the module rated speed or the operating speed at the configured population, and that any OEM-recommended configuration of ≥2 TB is acceptable regardless of the '64 GB x 32' description.</t>
  </si>
  <si>
    <t>39-40</t>
  </si>
  <si>
    <t>Option-1 Ser 1 &amp; Ser 3</t>
  </si>
  <si>
    <t>Option-2 chassis must be listed as NVIDIA-Certified; Option-1 only requires 'factory-integrated or formally validated' by the OEM.</t>
  </si>
  <si>
    <t>For Option-1, is listing as an NVIDIA-Certified System for the RTX PRO 6000 Blackwell Server Edition required, or is OEM validation sufficient?</t>
  </si>
  <si>
    <t>40</t>
  </si>
  <si>
    <t>Option-1 Ser 3 (GPU)</t>
  </si>
  <si>
    <t>4 GPUs equal to or better than RTX PRO 6000 Blackwell Server Edition; support for MIG.</t>
  </si>
  <si>
    <t>(a) RTX PRO 6000 Server Edition has no NVLink; please confirm GPU-to-GPU communication over PCIe Gen5 is acceptable for Option-1. (b) What MIG partitioning is expected per GPU? (c) Please confirm whether non-NVIDIA accelerators will be evaluated as 'equivalent' and on what benchmark basis.</t>
  </si>
  <si>
    <t>40, 46</t>
  </si>
  <si>
    <t>Option-1 Ser 4; Option-2 Ser 4 (Storage)</t>
  </si>
  <si>
    <t>≥20 TB usable NVMe after data protection; ≥25% vacant and 'enabled' bays; ≥1 DWPD.</t>
  </si>
  <si>
    <t>(a) Please confirm 'enabled' means bays cabled to backplane/controller and usable without additional purchase. (b) Is there a preferred RAID level for data (RAID 5/6/10)? (c) Is software RAID (e.g. Intel VROC) acceptable versus a hardware tri-mode controller? (d) What is the minimum capacity for the mirrored boot drives?</t>
  </si>
  <si>
    <t>Option-1 Ser 6; Option-2 Ser 6 (25GbE)</t>
  </si>
  <si>
    <t>Minimum two 25GbE SFP28 ports; compatible optics or DAC/AOC to be included.</t>
  </si>
  <si>
    <t>Please share the make/model of the upstream switch, whether free 25G ports are available, the distance to the switch (to size DAC/AOC vs SR optics), and confirm that switch-side configuration (VLANs, LACP, RoCE/PFC) will be done by NUST or is in the bidder's scope.</t>
  </si>
  <si>
    <t>Option-1 Ser 10; Option-2 Ser 10 (Warranty)</t>
  </si>
  <si>
    <t>Repair and maintenance within warranty, 24x7 with Next Business Day onsite response, 3 years.</t>
  </si>
  <si>
    <t>Please clarify '24x7 with NBD': is 24x7 call logging with NBD onsite acceptable, or is 24x7 4-hour onsite required? Is defective-media / keep-your-drive retention required for failed NVMe drives?</t>
  </si>
  <si>
    <t>Technical – Software</t>
  </si>
  <si>
    <t>42, 48</t>
  </si>
  <si>
    <t>Option-1 &amp; Option-2 Section 1 Ser 1 (NVIDIA AI Enterprise)</t>
  </si>
  <si>
    <t>Option-2 text states subscription 'covering all four offered accelerators' although Option-2 has two GPUs.</t>
  </si>
  <si>
    <t>Please confirm the Option-2 NVAIE requirement is for 2 GPUs (typographical error). Also, H200 NVL normally includes a bundled NVAIE subscription; please confirm a bundled subscription registered to NUST satisfies this item.</t>
  </si>
  <si>
    <t>42</t>
  </si>
  <si>
    <t>Option-1 Section 1 Ser 1</t>
  </si>
  <si>
    <t>NVIDIA AI Enterprise for all four RTX PRO 6000 GPUs for three years.</t>
  </si>
  <si>
    <t>Please confirm the required edition (NVIDIA AI Enterprise full subscription vs Essentials) and that per-GPU 3-year subscriptions with Business Standard support are acceptable.</t>
  </si>
  <si>
    <t>Section 1 Ser 2 (Enterprise Linux)</t>
  </si>
  <si>
    <t>RHEL, Ubuntu Pro, SLES, Rocky Linux with support, or equivalent.</t>
  </si>
  <si>
    <t>Does NUST have a preferred distribution or existing enterprise agreement (e.g. RHEL)? If Kubernetes nodes / control-plane VMs also need OS subscriptions, how many instances should be priced?</t>
  </si>
  <si>
    <t>42, 49</t>
  </si>
  <si>
    <t>Section 1 Ser 3 (Monitoring)</t>
  </si>
  <si>
    <t>Integration with the Purchaser's existing monitoring environment shall be included.</t>
  </si>
  <si>
    <t>Please specify the existing monitoring platform(s) and versions (e.g. Zabbix, Prometheus/Grafana, PRTG, SolarWinds, vRealize/Aria) to define the integration scope.</t>
  </si>
  <si>
    <t>43, 49</t>
  </si>
  <si>
    <t>Section 1 Ser 5 (Container orchestration)</t>
  </si>
  <si>
    <t>Enterprise-supported Kubernetes / OpenShift / CNCF-conformant platform; control plane virtualized on existing estate.</t>
  </si>
  <si>
    <t>(a) Is a paid enterprise subscription (OpenShift, Rancher Prime, etc.) mandatory, or is upstream Kubernetes with bidder support for 3 years acceptable? (b) Will NUST provide the VMs (vCPU/RAM/storage), hypervisor licences and OS for the control plane on VMware/Sangfor, and how many control-plane nodes are expected (1 or 3 for HA)?</t>
  </si>
  <si>
    <t>Services</t>
  </si>
  <si>
    <t>43, 50</t>
  </si>
  <si>
    <t>Section-2 Ser 2 (VMware &amp; Sangfor integration)</t>
  </si>
  <si>
    <t>Integration for control-plane tier: network, VLAN, DNS, NTP, identity and monitoring.</t>
  </si>
  <si>
    <t>Please share VMware vSphere and Sangfor HCI versions, identity source (AD/LDAP/Entra ID), and confirm that NUST will provide administrative access and IP/VLAN allocations.</t>
  </si>
  <si>
    <t>44, 50</t>
  </si>
  <si>
    <t>Section-2 Ser 3 (LLM inference &amp; RAG)</t>
  </si>
  <si>
    <t>Deploy vLLM / TensorRT-LLM with OpenAI-compatible API, plus embedding model, reranker, vector database and ingestion workers.</t>
  </si>
  <si>
    <t>Please specify: (a) target LLM(s) and sizes (e.g. 70B, quantization), (b) expected concurrent users / throughput, (c) preferred vector database, (d) document sources and volume for ingestion, (e) whether a user-facing chat UI or application development is in scope, and (f) that model weights will be open-weight models whose licence terms are accepted by NUST.</t>
  </si>
  <si>
    <t>Section-2 Ser 4 (Migration)</t>
  </si>
  <si>
    <t>Migration of existing AI/ML workloads, including container images, model weights and datasets.</t>
  </si>
  <si>
    <t>Please provide an inventory of existing workloads: number of workloads, current platform, total data volume (TB), downtime windows, and whether application re-engineering is expected. Without this, we request that migration be limited to a defined number of workloads/data volume.</t>
  </si>
  <si>
    <t>Section-2 Ser 6 (Training and certification)</t>
  </si>
  <si>
    <t>Onsite/virtual knowledge transfer; training material and certificates to be provided.</t>
  </si>
  <si>
    <t>Please specify the number of participants and training days. Please confirm 'certificates' means training completion certificates issued by the bidder/OEM, not vendor certification exam vouchers (e.g. NVIDIA, Red Hat).</t>
  </si>
  <si>
    <t>Query Summary</t>
  </si>
  <si>
    <t>Total</t>
  </si>
  <si>
    <t>Answered by NUST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</si>
</sst>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C00000"/>
      <name val="Arial"/>
      <charset val="1"/>
    </font>
    <font>
      <b/>
      <sz val="9"/>
      <color rgb="FFC65911"/>
      <name val="Arial"/>
      <charset val="1"/>
    </font>
    <font>
      <b/>
      <sz val="9"/>
      <color rgb="FF54823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3" sqref="A33:XFD33"/>
    </sheetView>
  </sheetViews>
  <sheetFormatPr defaultColWidth="8.6640625" defaultRowHeight="14.4" x14ac:dyDescent="0.3"/>
  <cols>
    <col min="1" max="1" width="6" customWidth="1"/>
    <col min="2" max="2" width="16" customWidth="1"/>
    <col min="3" max="3" width="11" customWidth="1"/>
    <col min="4" max="4" width="26" customWidth="1"/>
    <col min="5" max="5" width="48" customWidth="1"/>
    <col min="6" max="6" width="70" customWidth="1"/>
    <col min="7" max="7" width="13" customWidth="1"/>
    <col min="8" max="8" width="9" customWidth="1"/>
    <col min="9" max="9" width="45" customWidth="1"/>
  </cols>
  <sheetData>
    <row r="1" spans="1:9" ht="16.8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27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9" ht="30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spans="1:9" ht="49.5" customHeight="1" x14ac:dyDescent="0.3">
      <c r="A6" s="12">
        <v>14</v>
      </c>
      <c r="B6" s="13" t="s">
        <v>17</v>
      </c>
      <c r="C6" s="8" t="s">
        <v>18</v>
      </c>
      <c r="D6" s="9" t="s">
        <v>19</v>
      </c>
      <c r="E6" s="13" t="s">
        <v>20</v>
      </c>
      <c r="F6" s="13" t="s">
        <v>21</v>
      </c>
      <c r="G6" s="12" t="s">
        <v>17</v>
      </c>
      <c r="H6" s="15" t="s">
        <v>14</v>
      </c>
      <c r="I6" s="11"/>
    </row>
    <row r="7" spans="1:9" ht="75" customHeight="1" x14ac:dyDescent="0.3">
      <c r="A7" s="6">
        <v>23</v>
      </c>
      <c r="B7" s="7" t="s">
        <v>22</v>
      </c>
      <c r="C7" s="8" t="s">
        <v>23</v>
      </c>
      <c r="D7" s="9" t="s">
        <v>24</v>
      </c>
      <c r="E7" s="7" t="s">
        <v>25</v>
      </c>
      <c r="F7" s="7" t="s">
        <v>26</v>
      </c>
      <c r="G7" s="6" t="s">
        <v>22</v>
      </c>
      <c r="H7" s="10" t="s">
        <v>13</v>
      </c>
      <c r="I7" s="11"/>
    </row>
    <row r="8" spans="1:9" ht="39.75" customHeight="1" x14ac:dyDescent="0.3">
      <c r="A8" s="12">
        <v>24</v>
      </c>
      <c r="B8" s="13" t="s">
        <v>22</v>
      </c>
      <c r="C8" s="8" t="s">
        <v>27</v>
      </c>
      <c r="D8" s="9" t="s">
        <v>28</v>
      </c>
      <c r="E8" s="13" t="s">
        <v>29</v>
      </c>
      <c r="F8" s="13" t="s">
        <v>30</v>
      </c>
      <c r="G8" s="12" t="s">
        <v>22</v>
      </c>
      <c r="H8" s="16" t="s">
        <v>16</v>
      </c>
      <c r="I8" s="11"/>
    </row>
    <row r="9" spans="1:9" ht="49.5" customHeight="1" x14ac:dyDescent="0.3">
      <c r="A9" s="6">
        <v>25</v>
      </c>
      <c r="B9" s="7" t="s">
        <v>31</v>
      </c>
      <c r="C9" s="8" t="s">
        <v>32</v>
      </c>
      <c r="D9" s="9" t="s">
        <v>33</v>
      </c>
      <c r="E9" s="7" t="s">
        <v>34</v>
      </c>
      <c r="F9" s="7" t="s">
        <v>35</v>
      </c>
      <c r="G9" s="6" t="s">
        <v>31</v>
      </c>
      <c r="H9" s="10" t="s">
        <v>13</v>
      </c>
      <c r="I9" s="11"/>
    </row>
    <row r="10" spans="1:9" ht="49.5" customHeight="1" x14ac:dyDescent="0.3">
      <c r="A10" s="12">
        <v>26</v>
      </c>
      <c r="B10" s="13" t="s">
        <v>31</v>
      </c>
      <c r="C10" s="8" t="s">
        <v>36</v>
      </c>
      <c r="D10" s="9" t="s">
        <v>37</v>
      </c>
      <c r="E10" s="13" t="s">
        <v>38</v>
      </c>
      <c r="F10" s="13" t="s">
        <v>39</v>
      </c>
      <c r="G10" s="12" t="s">
        <v>31</v>
      </c>
      <c r="H10" s="15" t="s">
        <v>14</v>
      </c>
      <c r="I10" s="11"/>
    </row>
    <row r="11" spans="1:9" ht="49.5" customHeight="1" x14ac:dyDescent="0.3">
      <c r="A11" s="6">
        <v>27</v>
      </c>
      <c r="B11" s="7" t="s">
        <v>31</v>
      </c>
      <c r="C11" s="8" t="s">
        <v>40</v>
      </c>
      <c r="D11" s="9" t="s">
        <v>41</v>
      </c>
      <c r="E11" s="7" t="s">
        <v>42</v>
      </c>
      <c r="F11" s="7" t="s">
        <v>43</v>
      </c>
      <c r="G11" s="6" t="s">
        <v>31</v>
      </c>
      <c r="H11" s="17" t="s">
        <v>14</v>
      </c>
      <c r="I11" s="11"/>
    </row>
    <row r="12" spans="1:9" ht="49.5" customHeight="1" x14ac:dyDescent="0.3">
      <c r="A12" s="12">
        <v>28</v>
      </c>
      <c r="B12" s="13" t="s">
        <v>31</v>
      </c>
      <c r="C12" s="8" t="s">
        <v>44</v>
      </c>
      <c r="D12" s="9" t="s">
        <v>45</v>
      </c>
      <c r="E12" s="13" t="s">
        <v>46</v>
      </c>
      <c r="F12" s="13" t="s">
        <v>47</v>
      </c>
      <c r="G12" s="12" t="s">
        <v>31</v>
      </c>
      <c r="H12" s="14" t="s">
        <v>13</v>
      </c>
      <c r="I12" s="11"/>
    </row>
    <row r="13" spans="1:9" ht="87" customHeight="1" x14ac:dyDescent="0.3">
      <c r="A13" s="6">
        <v>29</v>
      </c>
      <c r="B13" s="7" t="s">
        <v>31</v>
      </c>
      <c r="C13" s="8" t="s">
        <v>48</v>
      </c>
      <c r="D13" s="9" t="s">
        <v>49</v>
      </c>
      <c r="E13" s="7" t="s">
        <v>50</v>
      </c>
      <c r="F13" s="7" t="s">
        <v>51</v>
      </c>
      <c r="G13" s="6" t="s">
        <v>31</v>
      </c>
      <c r="H13" s="17" t="s">
        <v>14</v>
      </c>
      <c r="I13" s="11"/>
    </row>
    <row r="14" spans="1:9" ht="62.25" customHeight="1" x14ac:dyDescent="0.3">
      <c r="A14" s="6">
        <v>35</v>
      </c>
      <c r="B14" s="7" t="s">
        <v>54</v>
      </c>
      <c r="C14" s="8" t="s">
        <v>55</v>
      </c>
      <c r="D14" s="9" t="s">
        <v>56</v>
      </c>
      <c r="E14" s="7" t="s">
        <v>57</v>
      </c>
      <c r="F14" s="7" t="s">
        <v>58</v>
      </c>
      <c r="G14" s="6" t="s">
        <v>59</v>
      </c>
      <c r="H14" s="10" t="s">
        <v>13</v>
      </c>
      <c r="I14" s="11"/>
    </row>
    <row r="15" spans="1:9" ht="39.75" customHeight="1" x14ac:dyDescent="0.3">
      <c r="A15" s="12">
        <v>36</v>
      </c>
      <c r="B15" s="13" t="s">
        <v>54</v>
      </c>
      <c r="C15" s="8" t="s">
        <v>60</v>
      </c>
      <c r="D15" s="9" t="s">
        <v>61</v>
      </c>
      <c r="E15" s="13" t="s">
        <v>62</v>
      </c>
      <c r="F15" s="13" t="s">
        <v>63</v>
      </c>
      <c r="G15" s="12" t="s">
        <v>59</v>
      </c>
      <c r="H15" s="15" t="s">
        <v>14</v>
      </c>
      <c r="I15" s="11"/>
    </row>
    <row r="16" spans="1:9" ht="49.5" customHeight="1" x14ac:dyDescent="0.3">
      <c r="A16" s="6">
        <v>37</v>
      </c>
      <c r="B16" s="7" t="s">
        <v>54</v>
      </c>
      <c r="C16" s="8" t="s">
        <v>64</v>
      </c>
      <c r="D16" s="9" t="s">
        <v>65</v>
      </c>
      <c r="E16" s="7" t="s">
        <v>66</v>
      </c>
      <c r="F16" s="7" t="s">
        <v>67</v>
      </c>
      <c r="G16" s="6" t="s">
        <v>59</v>
      </c>
      <c r="H16" s="10" t="s">
        <v>13</v>
      </c>
      <c r="I16" s="11"/>
    </row>
    <row r="17" spans="1:9" ht="39.75" customHeight="1" x14ac:dyDescent="0.3">
      <c r="A17" s="12">
        <v>38</v>
      </c>
      <c r="B17" s="13" t="s">
        <v>68</v>
      </c>
      <c r="C17" s="8" t="s">
        <v>69</v>
      </c>
      <c r="D17" s="9" t="s">
        <v>70</v>
      </c>
      <c r="E17" s="13" t="s">
        <v>71</v>
      </c>
      <c r="F17" s="13" t="s">
        <v>72</v>
      </c>
      <c r="G17" s="12" t="s">
        <v>59</v>
      </c>
      <c r="H17" s="15" t="s">
        <v>14</v>
      </c>
      <c r="I17" s="11"/>
    </row>
    <row r="18" spans="1:9" ht="87" customHeight="1" x14ac:dyDescent="0.3">
      <c r="A18" s="6">
        <v>39</v>
      </c>
      <c r="B18" s="7" t="s">
        <v>68</v>
      </c>
      <c r="C18" s="8" t="s">
        <v>73</v>
      </c>
      <c r="D18" s="9" t="s">
        <v>74</v>
      </c>
      <c r="E18" s="7" t="s">
        <v>75</v>
      </c>
      <c r="F18" s="7" t="s">
        <v>76</v>
      </c>
      <c r="G18" s="6" t="s">
        <v>59</v>
      </c>
      <c r="H18" s="10" t="s">
        <v>13</v>
      </c>
      <c r="I18" s="11"/>
    </row>
    <row r="19" spans="1:9" ht="39.75" customHeight="1" x14ac:dyDescent="0.3">
      <c r="A19" s="12">
        <v>40</v>
      </c>
      <c r="B19" s="13" t="s">
        <v>68</v>
      </c>
      <c r="C19" s="8" t="s">
        <v>77</v>
      </c>
      <c r="D19" s="9" t="s">
        <v>78</v>
      </c>
      <c r="E19" s="13" t="s">
        <v>79</v>
      </c>
      <c r="F19" s="13" t="s">
        <v>80</v>
      </c>
      <c r="G19" s="12" t="s">
        <v>59</v>
      </c>
      <c r="H19" s="15" t="s">
        <v>14</v>
      </c>
      <c r="I19" s="11"/>
    </row>
    <row r="20" spans="1:9" ht="62.25" customHeight="1" x14ac:dyDescent="0.3">
      <c r="A20" s="6">
        <v>41</v>
      </c>
      <c r="B20" s="7" t="s">
        <v>68</v>
      </c>
      <c r="C20" s="8" t="s">
        <v>81</v>
      </c>
      <c r="D20" s="9" t="s">
        <v>82</v>
      </c>
      <c r="E20" s="7" t="s">
        <v>83</v>
      </c>
      <c r="F20" s="7" t="s">
        <v>84</v>
      </c>
      <c r="G20" s="6" t="s">
        <v>59</v>
      </c>
      <c r="H20" s="17" t="s">
        <v>14</v>
      </c>
      <c r="I20" s="11"/>
    </row>
    <row r="21" spans="1:9" ht="62.25" customHeight="1" x14ac:dyDescent="0.3">
      <c r="A21" s="12">
        <v>42</v>
      </c>
      <c r="B21" s="13" t="s">
        <v>68</v>
      </c>
      <c r="C21" s="8" t="s">
        <v>85</v>
      </c>
      <c r="D21" s="9" t="s">
        <v>86</v>
      </c>
      <c r="E21" s="13" t="s">
        <v>87</v>
      </c>
      <c r="F21" s="13" t="s">
        <v>88</v>
      </c>
      <c r="G21" s="12" t="s">
        <v>59</v>
      </c>
      <c r="H21" s="15" t="s">
        <v>14</v>
      </c>
      <c r="I21" s="11"/>
    </row>
    <row r="22" spans="1:9" ht="49.5" customHeight="1" x14ac:dyDescent="0.3">
      <c r="A22" s="6">
        <v>43</v>
      </c>
      <c r="B22" s="7" t="s">
        <v>68</v>
      </c>
      <c r="C22" s="8" t="s">
        <v>64</v>
      </c>
      <c r="D22" s="9" t="s">
        <v>89</v>
      </c>
      <c r="E22" s="7" t="s">
        <v>90</v>
      </c>
      <c r="F22" s="7" t="s">
        <v>91</v>
      </c>
      <c r="G22" s="6" t="s">
        <v>59</v>
      </c>
      <c r="H22" s="17" t="s">
        <v>14</v>
      </c>
      <c r="I22" s="11"/>
    </row>
    <row r="23" spans="1:9" ht="39.75" customHeight="1" x14ac:dyDescent="0.3">
      <c r="A23" s="6">
        <v>45</v>
      </c>
      <c r="B23" s="7" t="s">
        <v>68</v>
      </c>
      <c r="C23" s="8" t="s">
        <v>53</v>
      </c>
      <c r="D23" s="9" t="s">
        <v>92</v>
      </c>
      <c r="E23" s="7" t="s">
        <v>93</v>
      </c>
      <c r="F23" s="7" t="s">
        <v>94</v>
      </c>
      <c r="G23" s="6" t="s">
        <v>59</v>
      </c>
      <c r="H23" s="17" t="s">
        <v>14</v>
      </c>
      <c r="I23" s="11"/>
    </row>
    <row r="24" spans="1:9" ht="49.5" customHeight="1" x14ac:dyDescent="0.3">
      <c r="A24" s="12">
        <v>46</v>
      </c>
      <c r="B24" s="13" t="s">
        <v>95</v>
      </c>
      <c r="C24" s="8" t="s">
        <v>96</v>
      </c>
      <c r="D24" s="9" t="s">
        <v>97</v>
      </c>
      <c r="E24" s="13" t="s">
        <v>98</v>
      </c>
      <c r="F24" s="13" t="s">
        <v>99</v>
      </c>
      <c r="G24" s="12" t="s">
        <v>59</v>
      </c>
      <c r="H24" s="14" t="s">
        <v>13</v>
      </c>
      <c r="I24" s="11"/>
    </row>
    <row r="25" spans="1:9" ht="39.75" customHeight="1" x14ac:dyDescent="0.3">
      <c r="A25" s="6">
        <v>47</v>
      </c>
      <c r="B25" s="7" t="s">
        <v>95</v>
      </c>
      <c r="C25" s="8" t="s">
        <v>100</v>
      </c>
      <c r="D25" s="9" t="s">
        <v>101</v>
      </c>
      <c r="E25" s="7" t="s">
        <v>102</v>
      </c>
      <c r="F25" s="7" t="s">
        <v>103</v>
      </c>
      <c r="G25" s="6" t="s">
        <v>59</v>
      </c>
      <c r="H25" s="17" t="s">
        <v>14</v>
      </c>
      <c r="I25" s="11"/>
    </row>
    <row r="26" spans="1:9" ht="39.75" customHeight="1" x14ac:dyDescent="0.3">
      <c r="A26" s="12">
        <v>48</v>
      </c>
      <c r="B26" s="13" t="s">
        <v>95</v>
      </c>
      <c r="C26" s="8" t="s">
        <v>96</v>
      </c>
      <c r="D26" s="9" t="s">
        <v>104</v>
      </c>
      <c r="E26" s="13" t="s">
        <v>105</v>
      </c>
      <c r="F26" s="13" t="s">
        <v>106</v>
      </c>
      <c r="G26" s="12" t="s">
        <v>59</v>
      </c>
      <c r="H26" s="15" t="s">
        <v>14</v>
      </c>
      <c r="I26" s="11"/>
    </row>
    <row r="27" spans="1:9" ht="39.75" customHeight="1" x14ac:dyDescent="0.3">
      <c r="A27" s="6">
        <v>49</v>
      </c>
      <c r="B27" s="7" t="s">
        <v>95</v>
      </c>
      <c r="C27" s="8" t="s">
        <v>107</v>
      </c>
      <c r="D27" s="9" t="s">
        <v>108</v>
      </c>
      <c r="E27" s="7" t="s">
        <v>109</v>
      </c>
      <c r="F27" s="7" t="s">
        <v>110</v>
      </c>
      <c r="G27" s="6" t="s">
        <v>59</v>
      </c>
      <c r="H27" s="17" t="s">
        <v>14</v>
      </c>
      <c r="I27" s="11"/>
    </row>
    <row r="28" spans="1:9" ht="62.25" customHeight="1" x14ac:dyDescent="0.3">
      <c r="A28" s="12">
        <v>50</v>
      </c>
      <c r="B28" s="13" t="s">
        <v>95</v>
      </c>
      <c r="C28" s="8" t="s">
        <v>111</v>
      </c>
      <c r="D28" s="9" t="s">
        <v>112</v>
      </c>
      <c r="E28" s="13" t="s">
        <v>113</v>
      </c>
      <c r="F28" s="13" t="s">
        <v>114</v>
      </c>
      <c r="G28" s="12" t="s">
        <v>59</v>
      </c>
      <c r="H28" s="14" t="s">
        <v>13</v>
      </c>
      <c r="I28" s="11"/>
    </row>
    <row r="29" spans="1:9" ht="39.75" customHeight="1" x14ac:dyDescent="0.3">
      <c r="A29" s="6">
        <v>51</v>
      </c>
      <c r="B29" s="7" t="s">
        <v>115</v>
      </c>
      <c r="C29" s="8" t="s">
        <v>116</v>
      </c>
      <c r="D29" s="9" t="s">
        <v>117</v>
      </c>
      <c r="E29" s="7" t="s">
        <v>118</v>
      </c>
      <c r="F29" s="7" t="s">
        <v>119</v>
      </c>
      <c r="G29" s="6" t="s">
        <v>115</v>
      </c>
      <c r="H29" s="17" t="s">
        <v>14</v>
      </c>
      <c r="I29" s="11"/>
    </row>
    <row r="30" spans="1:9" ht="75" customHeight="1" x14ac:dyDescent="0.3">
      <c r="A30" s="12">
        <v>52</v>
      </c>
      <c r="B30" s="13" t="s">
        <v>115</v>
      </c>
      <c r="C30" s="8" t="s">
        <v>120</v>
      </c>
      <c r="D30" s="9" t="s">
        <v>121</v>
      </c>
      <c r="E30" s="13" t="s">
        <v>122</v>
      </c>
      <c r="F30" s="13" t="s">
        <v>123</v>
      </c>
      <c r="G30" s="12" t="s">
        <v>115</v>
      </c>
      <c r="H30" s="14" t="s">
        <v>13</v>
      </c>
      <c r="I30" s="11"/>
    </row>
    <row r="31" spans="1:9" ht="62.25" customHeight="1" x14ac:dyDescent="0.3">
      <c r="A31" s="6">
        <v>53</v>
      </c>
      <c r="B31" s="7" t="s">
        <v>115</v>
      </c>
      <c r="C31" s="8" t="s">
        <v>120</v>
      </c>
      <c r="D31" s="9" t="s">
        <v>124</v>
      </c>
      <c r="E31" s="7" t="s">
        <v>125</v>
      </c>
      <c r="F31" s="7" t="s">
        <v>126</v>
      </c>
      <c r="G31" s="6" t="s">
        <v>115</v>
      </c>
      <c r="H31" s="10" t="s">
        <v>13</v>
      </c>
      <c r="I31" s="11"/>
    </row>
    <row r="32" spans="1:9" ht="49.5" customHeight="1" x14ac:dyDescent="0.3">
      <c r="A32" s="6">
        <v>55</v>
      </c>
      <c r="B32" s="7" t="s">
        <v>115</v>
      </c>
      <c r="C32" s="8" t="s">
        <v>120</v>
      </c>
      <c r="D32" s="9" t="s">
        <v>127</v>
      </c>
      <c r="E32" s="7" t="s">
        <v>128</v>
      </c>
      <c r="F32" s="7" t="s">
        <v>129</v>
      </c>
      <c r="G32" s="6" t="s">
        <v>115</v>
      </c>
      <c r="H32" s="17" t="s">
        <v>14</v>
      </c>
      <c r="I32" s="11"/>
    </row>
  </sheetData>
  <autoFilter ref="A5:I32" xr:uid="{00000000-0009-0000-0000-000000000000}"/>
  <mergeCells count="3">
    <mergeCell ref="A1:I1"/>
    <mergeCell ref="A2:I2"/>
    <mergeCell ref="A3:I3"/>
  </mergeCells>
  <dataValidations count="1">
    <dataValidation type="list" allowBlank="1" sqref="H6:H32" xr:uid="{00000000-0002-0000-0000-000000000000}">
      <formula1>"High,Medium,Low"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/>
  </sheetViews>
  <sheetFormatPr defaultColWidth="8.6640625" defaultRowHeight="14.4" x14ac:dyDescent="0.3"/>
  <cols>
    <col min="1" max="1" width="22" customWidth="1"/>
    <col min="2" max="5" width="10" customWidth="1"/>
  </cols>
  <sheetData>
    <row r="1" spans="1:5" ht="16.8" x14ac:dyDescent="0.3">
      <c r="A1" s="4" t="s">
        <v>130</v>
      </c>
    </row>
    <row r="3" spans="1:5" x14ac:dyDescent="0.3">
      <c r="A3" s="18" t="s">
        <v>9</v>
      </c>
      <c r="B3" s="18" t="s">
        <v>131</v>
      </c>
      <c r="C3" s="18" t="s">
        <v>13</v>
      </c>
      <c r="D3" s="18" t="s">
        <v>14</v>
      </c>
      <c r="E3" s="18" t="s">
        <v>16</v>
      </c>
    </row>
    <row r="4" spans="1:5" x14ac:dyDescent="0.3">
      <c r="A4" s="19" t="s">
        <v>12</v>
      </c>
      <c r="B4" s="20">
        <f>COUNTIF('Pre-Bid Queries'!$G$6:$G$32,A4)</f>
        <v>0</v>
      </c>
      <c r="C4" s="20">
        <f>COUNTIFS('Pre-Bid Queries'!$G$6:$G$32,$A4,'Pre-Bid Queries'!$H$6:$H$32,"High")</f>
        <v>0</v>
      </c>
      <c r="D4" s="20">
        <f>COUNTIFS('Pre-Bid Queries'!$G$6:$G$32,$A4,'Pre-Bid Queries'!$H$6:$H$32,"Medium")</f>
        <v>0</v>
      </c>
      <c r="E4" s="20">
        <f>COUNTIFS('Pre-Bid Queries'!$G$6:$G$32,$A4,'Pre-Bid Queries'!$H$6:$H$32,"Low")</f>
        <v>0</v>
      </c>
    </row>
    <row r="5" spans="1:5" x14ac:dyDescent="0.3">
      <c r="A5" s="19" t="s">
        <v>15</v>
      </c>
      <c r="B5" s="20">
        <f>COUNTIF('Pre-Bid Queries'!$G$6:$G$32,A5)</f>
        <v>0</v>
      </c>
      <c r="C5" s="20">
        <f>COUNTIFS('Pre-Bid Queries'!$G$6:$G$32,$A5,'Pre-Bid Queries'!$H$6:$H$32,"High")</f>
        <v>0</v>
      </c>
      <c r="D5" s="20">
        <f>COUNTIFS('Pre-Bid Queries'!$G$6:$G$32,$A5,'Pre-Bid Queries'!$H$6:$H$32,"Medium")</f>
        <v>0</v>
      </c>
      <c r="E5" s="20">
        <f>COUNTIFS('Pre-Bid Queries'!$G$6:$G$32,$A5,'Pre-Bid Queries'!$H$6:$H$32,"Low")</f>
        <v>0</v>
      </c>
    </row>
    <row r="6" spans="1:5" x14ac:dyDescent="0.3">
      <c r="A6" s="19" t="s">
        <v>17</v>
      </c>
      <c r="B6" s="20">
        <f>COUNTIF('Pre-Bid Queries'!$G$6:$G$32,A6)</f>
        <v>1</v>
      </c>
      <c r="C6" s="20">
        <f>COUNTIFS('Pre-Bid Queries'!$G$6:$G$32,$A6,'Pre-Bid Queries'!$H$6:$H$32,"High")</f>
        <v>0</v>
      </c>
      <c r="D6" s="20">
        <f>COUNTIFS('Pre-Bid Queries'!$G$6:$G$32,$A6,'Pre-Bid Queries'!$H$6:$H$32,"Medium")</f>
        <v>1</v>
      </c>
      <c r="E6" s="20">
        <f>COUNTIFS('Pre-Bid Queries'!$G$6:$G$32,$A6,'Pre-Bid Queries'!$H$6:$H$32,"Low")</f>
        <v>0</v>
      </c>
    </row>
    <row r="7" spans="1:5" x14ac:dyDescent="0.3">
      <c r="A7" s="19" t="s">
        <v>22</v>
      </c>
      <c r="B7" s="20">
        <f>COUNTIF('Pre-Bid Queries'!$G$6:$G$32,A7)</f>
        <v>2</v>
      </c>
      <c r="C7" s="20">
        <f>COUNTIFS('Pre-Bid Queries'!$G$6:$G$32,$A7,'Pre-Bid Queries'!$H$6:$H$32,"High")</f>
        <v>1</v>
      </c>
      <c r="D7" s="20">
        <f>COUNTIFS('Pre-Bid Queries'!$G$6:$G$32,$A7,'Pre-Bid Queries'!$H$6:$H$32,"Medium")</f>
        <v>0</v>
      </c>
      <c r="E7" s="20">
        <f>COUNTIFS('Pre-Bid Queries'!$G$6:$G$32,$A7,'Pre-Bid Queries'!$H$6:$H$32,"Low")</f>
        <v>1</v>
      </c>
    </row>
    <row r="8" spans="1:5" x14ac:dyDescent="0.3">
      <c r="A8" s="19" t="s">
        <v>31</v>
      </c>
      <c r="B8" s="20">
        <f>COUNTIF('Pre-Bid Queries'!$G$6:$G$32,A8)</f>
        <v>5</v>
      </c>
      <c r="C8" s="20">
        <f>COUNTIFS('Pre-Bid Queries'!$G$6:$G$32,$A8,'Pre-Bid Queries'!$H$6:$H$32,"High")</f>
        <v>2</v>
      </c>
      <c r="D8" s="20">
        <f>COUNTIFS('Pre-Bid Queries'!$G$6:$G$32,$A8,'Pre-Bid Queries'!$H$6:$H$32,"Medium")</f>
        <v>3</v>
      </c>
      <c r="E8" s="20">
        <f>COUNTIFS('Pre-Bid Queries'!$G$6:$G$32,$A8,'Pre-Bid Queries'!$H$6:$H$32,"Low")</f>
        <v>0</v>
      </c>
    </row>
    <row r="9" spans="1:5" x14ac:dyDescent="0.3">
      <c r="A9" s="19" t="s">
        <v>52</v>
      </c>
      <c r="B9" s="20">
        <f>COUNTIF('Pre-Bid Queries'!$G$6:$G$32,A9)</f>
        <v>0</v>
      </c>
      <c r="C9" s="20">
        <f>COUNTIFS('Pre-Bid Queries'!$G$6:$G$32,$A9,'Pre-Bid Queries'!$H$6:$H$32,"High")</f>
        <v>0</v>
      </c>
      <c r="D9" s="20">
        <f>COUNTIFS('Pre-Bid Queries'!$G$6:$G$32,$A9,'Pre-Bid Queries'!$H$6:$H$32,"Medium")</f>
        <v>0</v>
      </c>
      <c r="E9" s="20">
        <f>COUNTIFS('Pre-Bid Queries'!$G$6:$G$32,$A9,'Pre-Bid Queries'!$H$6:$H$32,"Low")</f>
        <v>0</v>
      </c>
    </row>
    <row r="10" spans="1:5" x14ac:dyDescent="0.3">
      <c r="A10" s="19" t="s">
        <v>59</v>
      </c>
      <c r="B10" s="20">
        <f>COUNTIF('Pre-Bid Queries'!$G$6:$G$32,A10)</f>
        <v>15</v>
      </c>
      <c r="C10" s="20">
        <f>COUNTIFS('Pre-Bid Queries'!$G$6:$G$32,$A10,'Pre-Bid Queries'!$H$6:$H$32,"High")</f>
        <v>5</v>
      </c>
      <c r="D10" s="20">
        <f>COUNTIFS('Pre-Bid Queries'!$G$6:$G$32,$A10,'Pre-Bid Queries'!$H$6:$H$32,"Medium")</f>
        <v>10</v>
      </c>
      <c r="E10" s="20">
        <f>COUNTIFS('Pre-Bid Queries'!$G$6:$G$32,$A10,'Pre-Bid Queries'!$H$6:$H$32,"Low")</f>
        <v>0</v>
      </c>
    </row>
    <row r="11" spans="1:5" x14ac:dyDescent="0.3">
      <c r="A11" s="19" t="s">
        <v>115</v>
      </c>
      <c r="B11" s="20">
        <f>COUNTIF('Pre-Bid Queries'!$G$6:$G$32,A11)</f>
        <v>4</v>
      </c>
      <c r="C11" s="20">
        <f>COUNTIFS('Pre-Bid Queries'!$G$6:$G$32,$A11,'Pre-Bid Queries'!$H$6:$H$32,"High")</f>
        <v>2</v>
      </c>
      <c r="D11" s="20">
        <f>COUNTIFS('Pre-Bid Queries'!$G$6:$G$32,$A11,'Pre-Bid Queries'!$H$6:$H$32,"Medium")</f>
        <v>2</v>
      </c>
      <c r="E11" s="20">
        <f>COUNTIFS('Pre-Bid Queries'!$G$6:$G$32,$A11,'Pre-Bid Queries'!$H$6:$H$32,"Low")</f>
        <v>0</v>
      </c>
    </row>
    <row r="12" spans="1:5" x14ac:dyDescent="0.3">
      <c r="A12" s="21" t="s">
        <v>131</v>
      </c>
      <c r="B12" s="22">
        <f>SUM(B4:B11)</f>
        <v>27</v>
      </c>
      <c r="C12" s="22">
        <f>SUM(C4:C11)</f>
        <v>10</v>
      </c>
      <c r="D12" s="22">
        <f>SUM(D4:D11)</f>
        <v>16</v>
      </c>
      <c r="E12" s="22">
        <f>SUM(E4:E11)</f>
        <v>1</v>
      </c>
    </row>
    <row r="13" spans="1:5" x14ac:dyDescent="0.3">
      <c r="A13" s="19" t="s">
        <v>132</v>
      </c>
      <c r="B13" s="20">
        <f>COUNTA('Pre-Bid Queries'!$I$6:$I$32)</f>
        <v>0</v>
      </c>
      <c r="C13" s="20"/>
      <c r="D13" s="20"/>
      <c r="E13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Pre-Bid Queries</vt:lpstr>
      <vt:lpstr>Summary</vt:lpstr>
      <vt:lpstr>'Pre-Bid Queries'!Print_Titles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Tayyab Riaz</cp:lastModifiedBy>
  <cp:revision>0</cp:revision>
  <dcterms:created xsi:type="dcterms:W3CDTF">2026-10-26T05:58:54Z</dcterms:created>
  <dcterms:modified xsi:type="dcterms:W3CDTF">2026-10-26T07:11:14Z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2026-10-26T06:50:27Z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957b1f10-0fef-403f-ae21-c92a815cc070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