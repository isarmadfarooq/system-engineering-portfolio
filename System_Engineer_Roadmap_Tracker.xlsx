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rmad Farooq\Documents\system-engineering-portfolio\"/>
    </mc:Choice>
  </mc:AlternateContent>
  <bookViews>
    <workbookView xWindow="0" yWindow="0" windowWidth="16380" windowHeight="8190" tabRatio="500" activeTab="1"/>
  </bookViews>
  <sheets>
    <sheet name="Dashboard" sheetId="1" r:id="rId1"/>
    <sheet name="Weekly Plan" sheetId="2" r:id="rId2"/>
    <sheet name="Weekly Review" sheetId="3" r:id="rId3"/>
    <sheet name="Certifications" sheetId="4" r:id="rId4"/>
    <sheet name="Lab Log" sheetId="5" r:id="rId5"/>
  </sheets>
  <definedNames>
    <definedName name="_xlnm._FilterDatabase" localSheetId="1" hidden="1">'Weekly Plan'!$A$4:$I$57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1" i="3" l="1"/>
  <c r="F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E6" i="3" s="1"/>
  <c r="B6" i="3"/>
  <c r="D5" i="3"/>
  <c r="C5" i="3"/>
  <c r="B5" i="3"/>
  <c r="D29" i="1"/>
  <c r="C29" i="1"/>
  <c r="D28" i="1"/>
  <c r="C28" i="1"/>
  <c r="D27" i="1"/>
  <c r="C27" i="1"/>
  <c r="D22" i="1"/>
  <c r="C22" i="1"/>
  <c r="D21" i="1"/>
  <c r="C21" i="1"/>
  <c r="D20" i="1"/>
  <c r="C20" i="1"/>
  <c r="E20" i="1" s="1"/>
  <c r="D19" i="1"/>
  <c r="C19" i="1"/>
  <c r="B14" i="1"/>
  <c r="B13" i="1"/>
  <c r="B12" i="1"/>
  <c r="B9" i="1"/>
  <c r="B8" i="1"/>
  <c r="B10" i="1" s="1"/>
  <c r="B7" i="1"/>
  <c r="B6" i="1"/>
  <c r="B5" i="1"/>
  <c r="E27" i="1" l="1"/>
  <c r="E8" i="3"/>
  <c r="E16" i="3"/>
  <c r="E11" i="3"/>
  <c r="E19" i="3"/>
  <c r="E21" i="1"/>
  <c r="E22" i="1"/>
  <c r="E28" i="1"/>
  <c r="E14" i="3"/>
  <c r="E9" i="3"/>
  <c r="E17" i="3"/>
  <c r="E29" i="1"/>
  <c r="E12" i="3"/>
  <c r="E20" i="3"/>
  <c r="E7" i="3"/>
  <c r="E15" i="3"/>
  <c r="E10" i="3"/>
  <c r="E18" i="3"/>
  <c r="D21" i="3"/>
  <c r="E19" i="1"/>
  <c r="E5" i="3"/>
  <c r="E13" i="3"/>
  <c r="B11" i="1"/>
  <c r="C21" i="3"/>
  <c r="E21" i="3" l="1"/>
</calcChain>
</file>

<file path=xl/sharedStrings.xml><?xml version="1.0" encoding="utf-8"?>
<sst xmlns="http://schemas.openxmlformats.org/spreadsheetml/2006/main" count="316" uniqueCount="151">
  <si>
    <t>System Engineer Roadmap: Progress Dashboard</t>
  </si>
  <si>
    <t>Premier System | Red Hat + VMware | 4-month plan from trainee to client-ready engineer</t>
  </si>
  <si>
    <t>Start Date</t>
  </si>
  <si>
    <t>Assumption: set to the date this plan was made. Change to your actual start date.</t>
  </si>
  <si>
    <t>Planned End</t>
  </si>
  <si>
    <t>Current Week</t>
  </si>
  <si>
    <t>Time Elapsed</t>
  </si>
  <si>
    <t>Tasks Completed</t>
  </si>
  <si>
    <t>Total Tasks</t>
  </si>
  <si>
    <t>Overall Completion</t>
  </si>
  <si>
    <t>Schedule Status</t>
  </si>
  <si>
    <t>Hours Studied (Weekly Review)</t>
  </si>
  <si>
    <t>Lab Log Hours</t>
  </si>
  <si>
    <t>Certifications Passed</t>
  </si>
  <si>
    <t>Progress by Month</t>
  </si>
  <si>
    <t>Month</t>
  </si>
  <si>
    <t>Theme</t>
  </si>
  <si>
    <t>Tasks</t>
  </si>
  <si>
    <t>Done</t>
  </si>
  <si>
    <t>Completion %</t>
  </si>
  <si>
    <t>Foundations</t>
  </si>
  <si>
    <t>VMware Track</t>
  </si>
  <si>
    <t>Red Hat Track</t>
  </si>
  <si>
    <t>Solutions &amp; Certification</t>
  </si>
  <si>
    <t>Progress by Task Type</t>
  </si>
  <si>
    <t>Type</t>
  </si>
  <si>
    <t>Theory</t>
  </si>
  <si>
    <t>Lab</t>
  </si>
  <si>
    <t>Milestone</t>
  </si>
  <si>
    <t>How to use</t>
  </si>
  <si>
    <t>1. Weekly Plan: change Status (dropdown) as you work. Blue cells are yours to edit.</t>
  </si>
  <si>
    <t>2. Weekly Review: log hours and a 1-5 self-score every Friday.</t>
  </si>
  <si>
    <t>3. Lab Log: record each problem and fix; row 5 is an example to overwrite.</t>
  </si>
  <si>
    <t>4. Certifications: update status and score as you book and pass exams.</t>
  </si>
  <si>
    <t>5. Yellow cell above (Start Date) drives Current Week and On track / Behind.</t>
  </si>
  <si>
    <t>Weekly Plan &amp; Checklist</t>
  </si>
  <si>
    <t>Set Status to Done as you finish each task. Everything on the Dashboard updates automatically.</t>
  </si>
  <si>
    <t>ID</t>
  </si>
  <si>
    <t>Week</t>
  </si>
  <si>
    <t>Track</t>
  </si>
  <si>
    <t>Task</t>
  </si>
  <si>
    <t>Status</t>
  </si>
  <si>
    <t>Date Done</t>
  </si>
  <si>
    <t>Notes</t>
  </si>
  <si>
    <t>Linux Foundations</t>
  </si>
  <si>
    <t>Command line, users, groups, permissions, ownership</t>
  </si>
  <si>
    <t>Not Started</t>
  </si>
  <si>
    <t>systemd services and package management (dnf/rpm)</t>
  </si>
  <si>
    <t>Build a RHEL VM with static IP and SSH hardening</t>
  </si>
  <si>
    <t>LVM, file systems, mounting, RAID basics</t>
  </si>
  <si>
    <t>Create, extend and shrink LVM volumes in a lab VM</t>
  </si>
  <si>
    <t>Networking: IP, DNS, firewalld, NIC bonding</t>
  </si>
  <si>
    <t>Networking</t>
  </si>
  <si>
    <t>Datacenter networking: VLANs, trunks, LACP, MTU</t>
  </si>
  <si>
    <t>Configure VLAN and bond on RHEL</t>
  </si>
  <si>
    <t>Bash scripting basics: variables, loops, conditions</t>
  </si>
  <si>
    <t>Write a script that audits users, disk and services</t>
  </si>
  <si>
    <t>Hardware &amp; Storage</t>
  </si>
  <si>
    <t>Virtualization concepts: hypervisor, cluster, HA, live migration</t>
  </si>
  <si>
    <t>Storage: SAN vs NAS, iSCSI, Fibre Channel, RAID levels, IOPS</t>
  </si>
  <si>
    <t>HPE iLO and Dell iDRAC; firmware and RAID controllers</t>
  </si>
  <si>
    <t>Processors (Intel Xeon gens, AMD EPYC) and GPU servers (NVIDIA H200)</t>
  </si>
  <si>
    <t>MILESTONE: Month 1 review with mentor</t>
  </si>
  <si>
    <t>VMware vSphere</t>
  </si>
  <si>
    <t>ESXi and vCenter installation (nested lab)</t>
  </si>
  <si>
    <t>Datastores, VM templates and cloning</t>
  </si>
  <si>
    <t>Virtual networking: vSwitch, port groups, VLANs</t>
  </si>
  <si>
    <t>Clusters: HA, DRS, resource pools</t>
  </si>
  <si>
    <t>vMotion: migrate a VM live between hosts</t>
  </si>
  <si>
    <t>Snapshots, backups and restore basics</t>
  </si>
  <si>
    <t>VMware vSAN</t>
  </si>
  <si>
    <t>vSAN architecture and storage policies</t>
  </si>
  <si>
    <t>Build a vSAN cluster in the lab</t>
  </si>
  <si>
    <t>Fail a host or disk and observe vSAN behaviour</t>
  </si>
  <si>
    <t>VMware NSX &amp; VCF</t>
  </si>
  <si>
    <t>NSX segments, gateways and distributed firewall</t>
  </si>
  <si>
    <t>VMware Cloud Foundation (VCF) architecture overview</t>
  </si>
  <si>
    <t>Lifecycle Manager patching and monitoring</t>
  </si>
  <si>
    <t>MILESTONE: Document full vSphere + vSAN lab build</t>
  </si>
  <si>
    <t>Red Hat RHEL</t>
  </si>
  <si>
    <t>RHCSA objectives: users, storage, SELinux, boot process</t>
  </si>
  <si>
    <t>Practice RHCSA-style tasks under time limit</t>
  </si>
  <si>
    <t>Networking, firewalld and SELinux troubleshooting</t>
  </si>
  <si>
    <t>Red Hat Ansible</t>
  </si>
  <si>
    <t>Ansible basics: inventory, ad-hoc commands, playbooks</t>
  </si>
  <si>
    <t>Roles, variables and templates</t>
  </si>
  <si>
    <t>Automate a full server build with a playbook</t>
  </si>
  <si>
    <t>Containers</t>
  </si>
  <si>
    <t>Podman: images, containers, volumes, registries</t>
  </si>
  <si>
    <t>Kubernetes concepts: pods, deployments, services</t>
  </si>
  <si>
    <t>Run a multi-container application</t>
  </si>
  <si>
    <t>Red Hat OpenShift</t>
  </si>
  <si>
    <t>OpenShift architecture, projects, routes, storage, operators</t>
  </si>
  <si>
    <t>Deploy a small cluster or OpenShift Local and an app</t>
  </si>
  <si>
    <t>Morpheus</t>
  </si>
  <si>
    <t>Morpheus cloud management platform: overview and demo</t>
  </si>
  <si>
    <t>MILESTONE: App on OpenShift automated with Ansible</t>
  </si>
  <si>
    <t>Solution Design</t>
  </si>
  <si>
    <t>Customer decision path: containers + virtualization (Red Hat) vs virtualization only (VMware)</t>
  </si>
  <si>
    <t>Discovery questions: workloads, growth, budget, skills</t>
  </si>
  <si>
    <t>Sizing: CPU, RAM, storage (e.g. 50 TB to 75 TB SAN), licensing editions</t>
  </si>
  <si>
    <t>External SAN, backup and DR design</t>
  </si>
  <si>
    <t>HPE and Dell server and storage portfolio: what to quote when</t>
  </si>
  <si>
    <t>GPU and AI workload basics</t>
  </si>
  <si>
    <t>Capstone</t>
  </si>
  <si>
    <t>Write BOM and architecture diagram for fictional customer</t>
  </si>
  <si>
    <t>Write HLD (high-level design) document</t>
  </si>
  <si>
    <t>Build 10-slide solution presentation</t>
  </si>
  <si>
    <t>Certification</t>
  </si>
  <si>
    <t>Sit certification exam (RHCSA or VCP)</t>
  </si>
  <si>
    <t>Present capstone to manager / senior engineer</t>
  </si>
  <si>
    <t>MILESTONE: Final 4-month review and next 90-day plan</t>
  </si>
  <si>
    <t>Weekly Review</t>
  </si>
  <si>
    <t>Task counts come from Weekly Plan. Fill in the blue cells at the end of each week (30 min with your mentor).</t>
  </si>
  <si>
    <t>Hours Studied</t>
  </si>
  <si>
    <t>Self-Score (1-5)</t>
  </si>
  <si>
    <t>Wins / Blockers / Next Week Goal</t>
  </si>
  <si>
    <t>Total</t>
  </si>
  <si>
    <t>Certification Tracker</t>
  </si>
  <si>
    <t>Check vendor sites for current exam codes and prices; Broadcom/VMware has changed its program recently.</t>
  </si>
  <si>
    <t>Vendor</t>
  </si>
  <si>
    <t>Priority</t>
  </si>
  <si>
    <t>Target Date</t>
  </si>
  <si>
    <t>Score / Result</t>
  </si>
  <si>
    <t>RHCSA (EX200)</t>
  </si>
  <si>
    <t>Red Hat</t>
  </si>
  <si>
    <t>Primary</t>
  </si>
  <si>
    <t>Week 16</t>
  </si>
  <si>
    <t>Practice with timed labs in Week 9.</t>
  </si>
  <si>
    <t>VCP (VMware Certified Professional, current VCF/vSphere track)</t>
  </si>
  <si>
    <t>VMware / Broadcom</t>
  </si>
  <si>
    <t>Verify exam code and prerequisites on Broadcom's site.</t>
  </si>
  <si>
    <t>RHCE / OpenShift Administration</t>
  </si>
  <si>
    <t>Stretch</t>
  </si>
  <si>
    <t>After Month 4</t>
  </si>
  <si>
    <t>Plan for the next 90 days.</t>
  </si>
  <si>
    <t>HPE / Dell partner training</t>
  </si>
  <si>
    <t>HPE / Dell</t>
  </si>
  <si>
    <t>Supporting</t>
  </si>
  <si>
    <t>Ongoing</t>
  </si>
  <si>
    <t>Ask Premier System about partner-portal access.</t>
  </si>
  <si>
    <t>Lab Log &amp; Runbook</t>
  </si>
  <si>
    <t>Write down every issue you solve. This becomes your personal knowledge base. The first row is an example; overwrite it.</t>
  </si>
  <si>
    <t>Date</t>
  </si>
  <si>
    <t>Topic</t>
  </si>
  <si>
    <t>Problem / What I Did</t>
  </si>
  <si>
    <t>Fix / Learning</t>
  </si>
  <si>
    <t>Hours</t>
  </si>
  <si>
    <t>RHEL networking</t>
  </si>
  <si>
    <t>VM had no network after cloning</t>
  </si>
  <si>
    <t>Regenerated machine-id and fixed NIC name in nmcli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</si>
</sst>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\-mmm\-yyyy"/>
    <numFmt numFmtId="165" formatCode="&quot;Week &quot;0"/>
    <numFmt numFmtId="166" formatCode="0.0"/>
    <numFmt numFmtId="167" formatCode="&quot;Month &quot;0"/>
  </numFmts>
  <fonts count="9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9"/>
      <color rgb="FF595959"/>
      <name val="Arial"/>
      <charset val="1"/>
    </font>
    <font>
      <sz val="10"/>
      <name val="Arial"/>
      <charset val="1"/>
    </font>
    <font>
      <b/>
      <sz val="12"/>
      <color rgb="FF1F3864"/>
      <name val="Arial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9F9F9"/>
      </patternFill>
    </fill>
    <fill>
      <patternFill patternType="solid">
        <fgColor rgb="FFFFFF99"/>
        <bgColor rgb="FFFFEB9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4" fillId="3" borderId="1" xfId="0" applyNumberFormat="1" applyFont="1" applyFill="1" applyBorder="1" applyAlignment="1">
      <alignment horizontal="center"/>
    </xf>
    <xf numFmtId="0" fontId="5" fillId="0" borderId="0" xfId="0" applyFont="1"/>
    <xf numFmtId="164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7" fillId="0" borderId="0" xfId="0" applyFont="1"/>
    <xf numFmtId="0" fontId="8" fillId="4" borderId="1" xfId="0" applyFont="1" applyFill="1" applyBorder="1" applyAlignment="1">
      <alignment horizontal="center" vertical="center" wrapText="1"/>
    </xf>
    <xf numFmtId="167" fontId="6" fillId="0" borderId="1" xfId="0" applyNumberFormat="1" applyFont="1" applyBorder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center" vertical="center" wrapText="1"/>
    </xf>
    <xf numFmtId="167" fontId="6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164" fontId="4" fillId="0" borderId="1" xfId="0" applyNumberFormat="1" applyFont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6">
    <dxf>
      <fill>
        <patternFill>
          <bgColor rgb="FFC6EFCE"/>
        </patternFill>
      </fill>
    </dxf>
    <dxf>
      <font>
        <b/>
        <color rgb="FF1F3864"/>
        <name val="Arial"/>
      </font>
      <fill>
        <patternFill>
          <bgColor rgb="FFDDEBF7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006100"/>
        <name val="Arial"/>
      </font>
      <fill>
        <patternFill>
          <bgColor rgb="FFC6EFCE"/>
        </patternFill>
      </fill>
    </dxf>
    <dxf>
      <font>
        <b/>
        <color rgb="FF9C0006"/>
        <name val="Arial"/>
      </font>
      <fill>
        <patternFill>
          <bgColor rgb="FFFFC7CE"/>
        </patternFill>
      </fill>
    </dxf>
    <dxf>
      <font>
        <b/>
        <color rgb="FF006100"/>
        <name val="Arial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B9C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Completion by Month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Dashboard!$E$18</c:f>
              <c:strCache>
                <c:ptCount val="1"/>
                <c:pt idx="0">
                  <c:v>Completion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numRef>
              <c:f>Dashboard!$A$19:$A$22</c:f>
              <c:numCache>
                <c:formatCode>"Month "0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Dashboard!$E$19:$E$22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608974928"/>
        <c:axId val="-608976016"/>
      </c:barChart>
      <c:catAx>
        <c:axId val="-608974928"/>
        <c:scaling>
          <c:orientation val="minMax"/>
        </c:scaling>
        <c:delete val="0"/>
        <c:axPos val="b"/>
        <c:numFmt formatCode="&quot;Month &quot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608976016"/>
        <c:crosses val="autoZero"/>
        <c:auto val="1"/>
        <c:lblAlgn val="ctr"/>
        <c:lblOffset val="100"/>
        <c:noMultiLvlLbl val="0"/>
      </c:catAx>
      <c:valAx>
        <c:axId val="-60897601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6089749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Completion by Week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Review'!$E$4</c:f>
              <c:strCache>
                <c:ptCount val="1"/>
                <c:pt idx="0">
                  <c:v>Completion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'Weekly Review'!$A$5:$A$20</c:f>
              <c:numCache>
                <c:formatCode>"Week "0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'Weekly Review'!$E$5:$E$20</c:f>
              <c:numCache>
                <c:formatCode>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608981456"/>
        <c:axId val="-608977104"/>
      </c:barChart>
      <c:catAx>
        <c:axId val="-608981456"/>
        <c:scaling>
          <c:orientation val="minMax"/>
        </c:scaling>
        <c:delete val="0"/>
        <c:axPos val="b"/>
        <c:numFmt formatCode="&quot;Week &quot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608977104"/>
        <c:crosses val="autoZero"/>
        <c:auto val="1"/>
        <c:lblAlgn val="ctr"/>
        <c:lblOffset val="100"/>
        <c:noMultiLvlLbl val="0"/>
      </c:catAx>
      <c:valAx>
        <c:axId val="-608977104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6089814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Hours Studied per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Review'!$F$4</c:f>
              <c:strCache>
                <c:ptCount val="1"/>
                <c:pt idx="0">
                  <c:v>Hours Studied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'Weekly Review'!$A$5:$A$20</c:f>
              <c:numCache>
                <c:formatCode>"Week "0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'Weekly Review'!$F$5:$F$20</c:f>
              <c:numCache>
                <c:formatCode>0.0</c:formatCode>
                <c:ptCount val="16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608980912"/>
        <c:axId val="-608967856"/>
      </c:barChart>
      <c:catAx>
        <c:axId val="-608980912"/>
        <c:scaling>
          <c:orientation val="minMax"/>
        </c:scaling>
        <c:delete val="0"/>
        <c:axPos val="b"/>
        <c:numFmt formatCode="&quot;Week &quot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608967856"/>
        <c:crosses val="autoZero"/>
        <c:auto val="1"/>
        <c:lblAlgn val="ctr"/>
        <c:lblOffset val="100"/>
        <c:noMultiLvlLbl val="0"/>
      </c:catAx>
      <c:valAx>
        <c:axId val="-6089678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6089809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131040</xdr:rowOff>
    </xdr:from>
    <xdr:to>
      <xdr:col>14</xdr:col>
      <xdr:colOff>147600</xdr:colOff>
      <xdr:row>16</xdr:row>
      <xdr:rowOff>163800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130680</xdr:rowOff>
    </xdr:from>
    <xdr:to>
      <xdr:col>18</xdr:col>
      <xdr:colOff>581400</xdr:colOff>
      <xdr:row>32</xdr:row>
      <xdr:rowOff>163440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34</xdr:row>
      <xdr:rowOff>131040</xdr:rowOff>
    </xdr:from>
    <xdr:to>
      <xdr:col>18</xdr:col>
      <xdr:colOff>581400</xdr:colOff>
      <xdr:row>48</xdr:row>
      <xdr:rowOff>163440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26" customWidth="1"/>
    <col min="3" max="4" width="10" customWidth="1"/>
    <col min="5" max="5" width="16" customWidth="1"/>
  </cols>
  <sheetData>
    <row r="1" spans="1:3" ht="20.25" x14ac:dyDescent="0.3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  <c r="B4" s="4">
        <v>46302</v>
      </c>
      <c r="C4" s="5" t="s">
        <v>3</v>
      </c>
    </row>
    <row r="5" spans="1:3" x14ac:dyDescent="0.25">
      <c r="A5" s="3" t="s">
        <v>4</v>
      </c>
      <c r="B5" s="6">
        <f>B4+112</f>
        <v>46414</v>
      </c>
    </row>
    <row r="6" spans="1:3" x14ac:dyDescent="0.25">
      <c r="A6" s="3" t="s">
        <v>5</v>
      </c>
      <c r="B6" s="7">
        <f ca="1">MAX(1,MIN(16,INT((TODAY()-B4)/7)+1))</f>
        <v>1</v>
      </c>
    </row>
    <row r="7" spans="1:3" x14ac:dyDescent="0.25">
      <c r="A7" s="3" t="s">
        <v>6</v>
      </c>
      <c r="B7" s="8">
        <f ca="1">MIN(1,MAX(0,(TODAY()-B4)/112))</f>
        <v>1.7857142857142856E-2</v>
      </c>
    </row>
    <row r="8" spans="1:3" x14ac:dyDescent="0.25">
      <c r="A8" s="3" t="s">
        <v>7</v>
      </c>
      <c r="B8" s="9">
        <f>COUNTIF('Weekly Plan'!G5:G57,"Done")</f>
        <v>0</v>
      </c>
    </row>
    <row r="9" spans="1:3" x14ac:dyDescent="0.25">
      <c r="A9" s="3" t="s">
        <v>8</v>
      </c>
      <c r="B9" s="9">
        <f>COUNTA('Weekly Plan'!E5:E57)</f>
        <v>53</v>
      </c>
    </row>
    <row r="10" spans="1:3" ht="15.75" x14ac:dyDescent="0.25">
      <c r="A10" s="3" t="s">
        <v>9</v>
      </c>
      <c r="B10" s="10">
        <f>IF(B9=0,0,B8/B9)</f>
        <v>0</v>
      </c>
    </row>
    <row r="11" spans="1:3" x14ac:dyDescent="0.25">
      <c r="A11" s="3" t="s">
        <v>10</v>
      </c>
      <c r="B11" s="11" t="str">
        <f ca="1">IF(B10&gt;=B7,"On track","Behind schedule")</f>
        <v>Behind schedule</v>
      </c>
    </row>
    <row r="12" spans="1:3" x14ac:dyDescent="0.25">
      <c r="A12" s="3" t="s">
        <v>11</v>
      </c>
      <c r="B12" s="12">
        <f>'Weekly Review'!F21</f>
        <v>0</v>
      </c>
    </row>
    <row r="13" spans="1:3" x14ac:dyDescent="0.25">
      <c r="A13" s="3" t="s">
        <v>12</v>
      </c>
      <c r="B13" s="12">
        <f>SUM('Lab Log'!F5:F105)</f>
        <v>1.5</v>
      </c>
    </row>
    <row r="14" spans="1:3" x14ac:dyDescent="0.25">
      <c r="A14" s="3" t="s">
        <v>13</v>
      </c>
      <c r="B14" s="9">
        <f>COUNTIF(Certifications!E5:E8,"Passed")</f>
        <v>0</v>
      </c>
    </row>
    <row r="17" spans="1:5" ht="15.75" x14ac:dyDescent="0.25">
      <c r="A17" s="13" t="s">
        <v>14</v>
      </c>
    </row>
    <row r="18" spans="1:5" x14ac:dyDescent="0.25">
      <c r="A18" s="14" t="s">
        <v>15</v>
      </c>
      <c r="B18" s="14" t="s">
        <v>16</v>
      </c>
      <c r="C18" s="14" t="s">
        <v>17</v>
      </c>
      <c r="D18" s="14" t="s">
        <v>18</v>
      </c>
      <c r="E18" s="14" t="s">
        <v>19</v>
      </c>
    </row>
    <row r="19" spans="1:5" x14ac:dyDescent="0.25">
      <c r="A19" s="15">
        <v>1</v>
      </c>
      <c r="B19" s="9" t="s">
        <v>20</v>
      </c>
      <c r="C19" s="9">
        <f>COUNTIF('Weekly Plan'!$B$5:$B$57,A19)</f>
        <v>15</v>
      </c>
      <c r="D19" s="9">
        <f>COUNTIFS('Weekly Plan'!$B$5:$B$57,A19,'Weekly Plan'!$G$5:$G$57,"Done")</f>
        <v>0</v>
      </c>
      <c r="E19" s="8">
        <f>IF(C19=0,0,D19/C19)</f>
        <v>0</v>
      </c>
    </row>
    <row r="20" spans="1:5" x14ac:dyDescent="0.25">
      <c r="A20" s="15">
        <v>2</v>
      </c>
      <c r="B20" s="9" t="s">
        <v>21</v>
      </c>
      <c r="C20" s="9">
        <f>COUNTIF('Weekly Plan'!$B$5:$B$57,A20)</f>
        <v>13</v>
      </c>
      <c r="D20" s="9">
        <f>COUNTIFS('Weekly Plan'!$B$5:$B$57,A20,'Weekly Plan'!$G$5:$G$57,"Done")</f>
        <v>0</v>
      </c>
      <c r="E20" s="8">
        <f>IF(C20=0,0,D20/C20)</f>
        <v>0</v>
      </c>
    </row>
    <row r="21" spans="1:5" x14ac:dyDescent="0.25">
      <c r="A21" s="15">
        <v>3</v>
      </c>
      <c r="B21" s="9" t="s">
        <v>22</v>
      </c>
      <c r="C21" s="9">
        <f>COUNTIF('Weekly Plan'!$B$5:$B$57,A21)</f>
        <v>13</v>
      </c>
      <c r="D21" s="9">
        <f>COUNTIFS('Weekly Plan'!$B$5:$B$57,A21,'Weekly Plan'!$G$5:$G$57,"Done")</f>
        <v>0</v>
      </c>
      <c r="E21" s="8">
        <f>IF(C21=0,0,D21/C21)</f>
        <v>0</v>
      </c>
    </row>
    <row r="22" spans="1:5" x14ac:dyDescent="0.25">
      <c r="A22" s="15">
        <v>4</v>
      </c>
      <c r="B22" s="9" t="s">
        <v>23</v>
      </c>
      <c r="C22" s="9">
        <f>COUNTIF('Weekly Plan'!$B$5:$B$57,A22)</f>
        <v>12</v>
      </c>
      <c r="D22" s="9">
        <f>COUNTIFS('Weekly Plan'!$B$5:$B$57,A22,'Weekly Plan'!$G$5:$G$57,"Done")</f>
        <v>0</v>
      </c>
      <c r="E22" s="8">
        <f>IF(C22=0,0,D22/C22)</f>
        <v>0</v>
      </c>
    </row>
    <row r="25" spans="1:5" ht="15.75" x14ac:dyDescent="0.25">
      <c r="A25" s="13" t="s">
        <v>24</v>
      </c>
    </row>
    <row r="26" spans="1:5" x14ac:dyDescent="0.25">
      <c r="A26" s="14" t="s">
        <v>25</v>
      </c>
      <c r="B26" s="14"/>
      <c r="C26" s="14" t="s">
        <v>17</v>
      </c>
      <c r="D26" s="14" t="s">
        <v>18</v>
      </c>
      <c r="E26" s="14" t="s">
        <v>19</v>
      </c>
    </row>
    <row r="27" spans="1:5" x14ac:dyDescent="0.25">
      <c r="A27" s="9" t="s">
        <v>26</v>
      </c>
      <c r="B27" s="9"/>
      <c r="C27" s="9">
        <f>COUNTIF('Weekly Plan'!$F$5:$F$57,A27)</f>
        <v>26</v>
      </c>
      <c r="D27" s="9">
        <f>COUNTIFS('Weekly Plan'!$F$5:$F$57,A27,'Weekly Plan'!$G$5:$G$57,"Done")</f>
        <v>0</v>
      </c>
      <c r="E27" s="8">
        <f>IF(C27=0,0,D27/C27)</f>
        <v>0</v>
      </c>
    </row>
    <row r="28" spans="1:5" x14ac:dyDescent="0.25">
      <c r="A28" s="9" t="s">
        <v>27</v>
      </c>
      <c r="B28" s="9"/>
      <c r="C28" s="9">
        <f>COUNTIF('Weekly Plan'!$F$5:$F$57,A28)</f>
        <v>21</v>
      </c>
      <c r="D28" s="9">
        <f>COUNTIFS('Weekly Plan'!$F$5:$F$57,A28,'Weekly Plan'!$G$5:$G$57,"Done")</f>
        <v>0</v>
      </c>
      <c r="E28" s="8">
        <f>IF(C28=0,0,D28/C28)</f>
        <v>0</v>
      </c>
    </row>
    <row r="29" spans="1:5" x14ac:dyDescent="0.25">
      <c r="A29" s="9" t="s">
        <v>28</v>
      </c>
      <c r="B29" s="9"/>
      <c r="C29" s="9">
        <f>COUNTIF('Weekly Plan'!$F$5:$F$57,A29)</f>
        <v>6</v>
      </c>
      <c r="D29" s="9">
        <f>COUNTIFS('Weekly Plan'!$F$5:$F$57,A29,'Weekly Plan'!$G$5:$G$57,"Done")</f>
        <v>0</v>
      </c>
      <c r="E29" s="8">
        <f>IF(C29=0,0,D29/C29)</f>
        <v>0</v>
      </c>
    </row>
    <row r="32" spans="1:5" ht="15.75" x14ac:dyDescent="0.25">
      <c r="A32" s="13" t="s">
        <v>29</v>
      </c>
    </row>
    <row r="33" spans="1:1" x14ac:dyDescent="0.25">
      <c r="A33" s="16" t="s">
        <v>30</v>
      </c>
    </row>
    <row r="34" spans="1:1" x14ac:dyDescent="0.25">
      <c r="A34" s="16" t="s">
        <v>31</v>
      </c>
    </row>
    <row r="35" spans="1:1" x14ac:dyDescent="0.25">
      <c r="A35" s="16" t="s">
        <v>32</v>
      </c>
    </row>
    <row r="36" spans="1:1" x14ac:dyDescent="0.25">
      <c r="A36" s="16" t="s">
        <v>33</v>
      </c>
    </row>
    <row r="37" spans="1:1" x14ac:dyDescent="0.25">
      <c r="A37" s="16" t="s">
        <v>34</v>
      </c>
    </row>
  </sheetData>
  <conditionalFormatting sqref="B11">
    <cfRule type="cellIs" dxfId="5" priority="2" operator="equal">
      <formula>"On track"</formula>
    </cfRule>
    <cfRule type="cellIs" dxfId="4" priority="3" operator="equal">
      <formula>"Behind schedule"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zoomScaleNormal="100" workbookViewId="0">
      <pane ySplit="4" topLeftCell="A5" activePane="bottomLeft" state="frozen"/>
      <selection pane="bottomLeft" activeCell="A16" sqref="A16:XFD16"/>
    </sheetView>
  </sheetViews>
  <sheetFormatPr defaultColWidth="8.7109375" defaultRowHeight="15" x14ac:dyDescent="0.25"/>
  <cols>
    <col min="1" max="1" width="6" customWidth="1"/>
    <col min="2" max="3" width="10" customWidth="1"/>
    <col min="4" max="4" width="20" customWidth="1"/>
    <col min="5" max="5" width="62" customWidth="1"/>
    <col min="6" max="6" width="11" customWidth="1"/>
    <col min="7" max="8" width="14" customWidth="1"/>
    <col min="9" max="9" width="34" customWidth="1"/>
  </cols>
  <sheetData>
    <row r="1" spans="1:9" ht="20.25" x14ac:dyDescent="0.3">
      <c r="A1" s="1" t="s">
        <v>35</v>
      </c>
    </row>
    <row r="2" spans="1:9" x14ac:dyDescent="0.25">
      <c r="A2" s="2" t="s">
        <v>36</v>
      </c>
    </row>
    <row r="4" spans="1:9" x14ac:dyDescent="0.25">
      <c r="A4" s="14" t="s">
        <v>37</v>
      </c>
      <c r="B4" s="14" t="s">
        <v>15</v>
      </c>
      <c r="C4" s="14" t="s">
        <v>38</v>
      </c>
      <c r="D4" s="14" t="s">
        <v>39</v>
      </c>
      <c r="E4" s="14" t="s">
        <v>40</v>
      </c>
      <c r="F4" s="14" t="s">
        <v>25</v>
      </c>
      <c r="G4" s="14" t="s">
        <v>41</v>
      </c>
      <c r="H4" s="14" t="s">
        <v>42</v>
      </c>
      <c r="I4" s="14" t="s">
        <v>43</v>
      </c>
    </row>
    <row r="5" spans="1:9" x14ac:dyDescent="0.25">
      <c r="A5" s="17">
        <v>1</v>
      </c>
      <c r="B5" s="18">
        <v>1</v>
      </c>
      <c r="C5" s="19">
        <v>1</v>
      </c>
      <c r="D5" s="20" t="s">
        <v>44</v>
      </c>
      <c r="E5" s="20" t="s">
        <v>45</v>
      </c>
      <c r="F5" s="17" t="s">
        <v>26</v>
      </c>
      <c r="G5" s="21" t="s">
        <v>46</v>
      </c>
      <c r="H5" s="22"/>
      <c r="I5" s="23"/>
    </row>
    <row r="6" spans="1:9" x14ac:dyDescent="0.25">
      <c r="A6" s="17">
        <v>2</v>
      </c>
      <c r="B6" s="18">
        <v>1</v>
      </c>
      <c r="C6" s="19">
        <v>1</v>
      </c>
      <c r="D6" s="20" t="s">
        <v>44</v>
      </c>
      <c r="E6" s="20" t="s">
        <v>47</v>
      </c>
      <c r="F6" s="17" t="s">
        <v>26</v>
      </c>
      <c r="G6" s="21" t="s">
        <v>46</v>
      </c>
      <c r="H6" s="22"/>
      <c r="I6" s="23"/>
    </row>
    <row r="7" spans="1:9" x14ac:dyDescent="0.25">
      <c r="A7" s="17">
        <v>3</v>
      </c>
      <c r="B7" s="18">
        <v>1</v>
      </c>
      <c r="C7" s="19">
        <v>1</v>
      </c>
      <c r="D7" s="20" t="s">
        <v>44</v>
      </c>
      <c r="E7" s="20" t="s">
        <v>48</v>
      </c>
      <c r="F7" s="17" t="s">
        <v>27</v>
      </c>
      <c r="G7" s="21" t="s">
        <v>46</v>
      </c>
      <c r="H7" s="22"/>
      <c r="I7" s="23"/>
    </row>
    <row r="8" spans="1:9" x14ac:dyDescent="0.25">
      <c r="A8" s="17">
        <v>4</v>
      </c>
      <c r="B8" s="18">
        <v>1</v>
      </c>
      <c r="C8" s="19">
        <v>2</v>
      </c>
      <c r="D8" s="20" t="s">
        <v>44</v>
      </c>
      <c r="E8" s="20" t="s">
        <v>49</v>
      </c>
      <c r="F8" s="17" t="s">
        <v>26</v>
      </c>
      <c r="G8" s="21" t="s">
        <v>46</v>
      </c>
      <c r="H8" s="22"/>
      <c r="I8" s="23"/>
    </row>
    <row r="9" spans="1:9" x14ac:dyDescent="0.25">
      <c r="A9" s="17">
        <v>5</v>
      </c>
      <c r="B9" s="18">
        <v>1</v>
      </c>
      <c r="C9" s="19">
        <v>2</v>
      </c>
      <c r="D9" s="20" t="s">
        <v>44</v>
      </c>
      <c r="E9" s="20" t="s">
        <v>50</v>
      </c>
      <c r="F9" s="17" t="s">
        <v>27</v>
      </c>
      <c r="G9" s="21" t="s">
        <v>46</v>
      </c>
      <c r="H9" s="22"/>
      <c r="I9" s="23"/>
    </row>
    <row r="10" spans="1:9" x14ac:dyDescent="0.25">
      <c r="A10" s="17">
        <v>6</v>
      </c>
      <c r="B10" s="18">
        <v>1</v>
      </c>
      <c r="C10" s="19">
        <v>2</v>
      </c>
      <c r="D10" s="20" t="s">
        <v>44</v>
      </c>
      <c r="E10" s="20" t="s">
        <v>51</v>
      </c>
      <c r="F10" s="17" t="s">
        <v>26</v>
      </c>
      <c r="G10" s="21" t="s">
        <v>46</v>
      </c>
      <c r="H10" s="22"/>
      <c r="I10" s="23"/>
    </row>
    <row r="11" spans="1:9" x14ac:dyDescent="0.25">
      <c r="A11" s="17">
        <v>7</v>
      </c>
      <c r="B11" s="18">
        <v>1</v>
      </c>
      <c r="C11" s="19">
        <v>3</v>
      </c>
      <c r="D11" s="20" t="s">
        <v>52</v>
      </c>
      <c r="E11" s="20" t="s">
        <v>53</v>
      </c>
      <c r="F11" s="17" t="s">
        <v>26</v>
      </c>
      <c r="G11" s="21" t="s">
        <v>46</v>
      </c>
      <c r="H11" s="22"/>
      <c r="I11" s="23"/>
    </row>
    <row r="12" spans="1:9" x14ac:dyDescent="0.25">
      <c r="A12" s="17">
        <v>8</v>
      </c>
      <c r="B12" s="18">
        <v>1</v>
      </c>
      <c r="C12" s="19">
        <v>3</v>
      </c>
      <c r="D12" s="20" t="s">
        <v>52</v>
      </c>
      <c r="E12" s="20" t="s">
        <v>54</v>
      </c>
      <c r="F12" s="17" t="s">
        <v>27</v>
      </c>
      <c r="G12" s="21" t="s">
        <v>46</v>
      </c>
      <c r="H12" s="22"/>
      <c r="I12" s="23"/>
    </row>
    <row r="13" spans="1:9" x14ac:dyDescent="0.25">
      <c r="A13" s="17">
        <v>9</v>
      </c>
      <c r="B13" s="18">
        <v>1</v>
      </c>
      <c r="C13" s="19">
        <v>3</v>
      </c>
      <c r="D13" s="20" t="s">
        <v>44</v>
      </c>
      <c r="E13" s="20" t="s">
        <v>55</v>
      </c>
      <c r="F13" s="17" t="s">
        <v>26</v>
      </c>
      <c r="G13" s="21" t="s">
        <v>46</v>
      </c>
      <c r="H13" s="22"/>
      <c r="I13" s="23"/>
    </row>
    <row r="14" spans="1:9" x14ac:dyDescent="0.25">
      <c r="A14" s="17">
        <v>10</v>
      </c>
      <c r="B14" s="18">
        <v>1</v>
      </c>
      <c r="C14" s="19">
        <v>3</v>
      </c>
      <c r="D14" s="20" t="s">
        <v>44</v>
      </c>
      <c r="E14" s="20" t="s">
        <v>56</v>
      </c>
      <c r="F14" s="17" t="s">
        <v>27</v>
      </c>
      <c r="G14" s="21" t="s">
        <v>46</v>
      </c>
      <c r="H14" s="22"/>
      <c r="I14" s="23"/>
    </row>
    <row r="15" spans="1:9" x14ac:dyDescent="0.25">
      <c r="A15" s="17">
        <v>11</v>
      </c>
      <c r="B15" s="18">
        <v>1</v>
      </c>
      <c r="C15" s="19">
        <v>4</v>
      </c>
      <c r="D15" s="20" t="s">
        <v>57</v>
      </c>
      <c r="E15" s="20" t="s">
        <v>58</v>
      </c>
      <c r="F15" s="17" t="s">
        <v>26</v>
      </c>
      <c r="G15" s="21" t="s">
        <v>46</v>
      </c>
      <c r="H15" s="22"/>
      <c r="I15" s="23"/>
    </row>
    <row r="16" spans="1:9" x14ac:dyDescent="0.25">
      <c r="A16" s="17">
        <v>12</v>
      </c>
      <c r="B16" s="18">
        <v>1</v>
      </c>
      <c r="C16" s="19">
        <v>4</v>
      </c>
      <c r="D16" s="20" t="s">
        <v>57</v>
      </c>
      <c r="E16" s="20" t="s">
        <v>59</v>
      </c>
      <c r="F16" s="17" t="s">
        <v>26</v>
      </c>
      <c r="G16" s="21" t="s">
        <v>46</v>
      </c>
      <c r="H16" s="22"/>
      <c r="I16" s="23"/>
    </row>
    <row r="17" spans="1:9" x14ac:dyDescent="0.25">
      <c r="A17" s="17">
        <v>13</v>
      </c>
      <c r="B17" s="18">
        <v>1</v>
      </c>
      <c r="C17" s="19">
        <v>4</v>
      </c>
      <c r="D17" s="20" t="s">
        <v>57</v>
      </c>
      <c r="E17" s="20" t="s">
        <v>60</v>
      </c>
      <c r="F17" s="17" t="s">
        <v>26</v>
      </c>
      <c r="G17" s="21" t="s">
        <v>46</v>
      </c>
      <c r="H17" s="22"/>
      <c r="I17" s="23"/>
    </row>
    <row r="18" spans="1:9" ht="25.5" x14ac:dyDescent="0.25">
      <c r="A18" s="17">
        <v>14</v>
      </c>
      <c r="B18" s="18">
        <v>1</v>
      </c>
      <c r="C18" s="19">
        <v>4</v>
      </c>
      <c r="D18" s="20" t="s">
        <v>57</v>
      </c>
      <c r="E18" s="20" t="s">
        <v>61</v>
      </c>
      <c r="F18" s="17" t="s">
        <v>26</v>
      </c>
      <c r="G18" s="21" t="s">
        <v>46</v>
      </c>
      <c r="H18" s="22"/>
      <c r="I18" s="23"/>
    </row>
    <row r="19" spans="1:9" x14ac:dyDescent="0.25">
      <c r="A19" s="17">
        <v>15</v>
      </c>
      <c r="B19" s="18">
        <v>1</v>
      </c>
      <c r="C19" s="19">
        <v>4</v>
      </c>
      <c r="D19" s="20" t="s">
        <v>57</v>
      </c>
      <c r="E19" s="20" t="s">
        <v>62</v>
      </c>
      <c r="F19" s="17" t="s">
        <v>28</v>
      </c>
      <c r="G19" s="21" t="s">
        <v>46</v>
      </c>
      <c r="H19" s="22"/>
      <c r="I19" s="23"/>
    </row>
    <row r="20" spans="1:9" x14ac:dyDescent="0.25">
      <c r="A20" s="17">
        <v>16</v>
      </c>
      <c r="B20" s="18">
        <v>2</v>
      </c>
      <c r="C20" s="19">
        <v>5</v>
      </c>
      <c r="D20" s="20" t="s">
        <v>63</v>
      </c>
      <c r="E20" s="20" t="s">
        <v>64</v>
      </c>
      <c r="F20" s="17" t="s">
        <v>27</v>
      </c>
      <c r="G20" s="21" t="s">
        <v>46</v>
      </c>
      <c r="H20" s="22"/>
      <c r="I20" s="23"/>
    </row>
    <row r="21" spans="1:9" x14ac:dyDescent="0.25">
      <c r="A21" s="17">
        <v>17</v>
      </c>
      <c r="B21" s="18">
        <v>2</v>
      </c>
      <c r="C21" s="19">
        <v>5</v>
      </c>
      <c r="D21" s="20" t="s">
        <v>63</v>
      </c>
      <c r="E21" s="20" t="s">
        <v>65</v>
      </c>
      <c r="F21" s="17" t="s">
        <v>27</v>
      </c>
      <c r="G21" s="21" t="s">
        <v>46</v>
      </c>
      <c r="H21" s="22"/>
      <c r="I21" s="23"/>
    </row>
    <row r="22" spans="1:9" x14ac:dyDescent="0.25">
      <c r="A22" s="17">
        <v>18</v>
      </c>
      <c r="B22" s="18">
        <v>2</v>
      </c>
      <c r="C22" s="19">
        <v>5</v>
      </c>
      <c r="D22" s="20" t="s">
        <v>63</v>
      </c>
      <c r="E22" s="20" t="s">
        <v>66</v>
      </c>
      <c r="F22" s="17" t="s">
        <v>26</v>
      </c>
      <c r="G22" s="21" t="s">
        <v>46</v>
      </c>
      <c r="H22" s="22"/>
      <c r="I22" s="23"/>
    </row>
    <row r="23" spans="1:9" x14ac:dyDescent="0.25">
      <c r="A23" s="17">
        <v>19</v>
      </c>
      <c r="B23" s="18">
        <v>2</v>
      </c>
      <c r="C23" s="19">
        <v>6</v>
      </c>
      <c r="D23" s="20" t="s">
        <v>63</v>
      </c>
      <c r="E23" s="20" t="s">
        <v>67</v>
      </c>
      <c r="F23" s="17" t="s">
        <v>26</v>
      </c>
      <c r="G23" s="21" t="s">
        <v>46</v>
      </c>
      <c r="H23" s="22"/>
      <c r="I23" s="23"/>
    </row>
    <row r="24" spans="1:9" x14ac:dyDescent="0.25">
      <c r="A24" s="17">
        <v>20</v>
      </c>
      <c r="B24" s="18">
        <v>2</v>
      </c>
      <c r="C24" s="19">
        <v>6</v>
      </c>
      <c r="D24" s="20" t="s">
        <v>63</v>
      </c>
      <c r="E24" s="20" t="s">
        <v>68</v>
      </c>
      <c r="F24" s="17" t="s">
        <v>27</v>
      </c>
      <c r="G24" s="21" t="s">
        <v>46</v>
      </c>
      <c r="H24" s="22"/>
      <c r="I24" s="23"/>
    </row>
    <row r="25" spans="1:9" x14ac:dyDescent="0.25">
      <c r="A25" s="17">
        <v>21</v>
      </c>
      <c r="B25" s="18">
        <v>2</v>
      </c>
      <c r="C25" s="19">
        <v>6</v>
      </c>
      <c r="D25" s="20" t="s">
        <v>63</v>
      </c>
      <c r="E25" s="20" t="s">
        <v>69</v>
      </c>
      <c r="F25" s="17" t="s">
        <v>27</v>
      </c>
      <c r="G25" s="21" t="s">
        <v>46</v>
      </c>
      <c r="H25" s="22"/>
      <c r="I25" s="23"/>
    </row>
    <row r="26" spans="1:9" x14ac:dyDescent="0.25">
      <c r="A26" s="17">
        <v>22</v>
      </c>
      <c r="B26" s="18">
        <v>2</v>
      </c>
      <c r="C26" s="19">
        <v>7</v>
      </c>
      <c r="D26" s="20" t="s">
        <v>70</v>
      </c>
      <c r="E26" s="20" t="s">
        <v>71</v>
      </c>
      <c r="F26" s="17" t="s">
        <v>26</v>
      </c>
      <c r="G26" s="21" t="s">
        <v>46</v>
      </c>
      <c r="H26" s="22"/>
      <c r="I26" s="23"/>
    </row>
    <row r="27" spans="1:9" x14ac:dyDescent="0.25">
      <c r="A27" s="17">
        <v>23</v>
      </c>
      <c r="B27" s="18">
        <v>2</v>
      </c>
      <c r="C27" s="19">
        <v>7</v>
      </c>
      <c r="D27" s="20" t="s">
        <v>70</v>
      </c>
      <c r="E27" s="20" t="s">
        <v>72</v>
      </c>
      <c r="F27" s="17" t="s">
        <v>27</v>
      </c>
      <c r="G27" s="21" t="s">
        <v>46</v>
      </c>
      <c r="H27" s="22"/>
      <c r="I27" s="23"/>
    </row>
    <row r="28" spans="1:9" x14ac:dyDescent="0.25">
      <c r="A28" s="17">
        <v>24</v>
      </c>
      <c r="B28" s="18">
        <v>2</v>
      </c>
      <c r="C28" s="19">
        <v>7</v>
      </c>
      <c r="D28" s="20" t="s">
        <v>70</v>
      </c>
      <c r="E28" s="20" t="s">
        <v>73</v>
      </c>
      <c r="F28" s="17" t="s">
        <v>27</v>
      </c>
      <c r="G28" s="21" t="s">
        <v>46</v>
      </c>
      <c r="H28" s="22"/>
      <c r="I28" s="23"/>
    </row>
    <row r="29" spans="1:9" x14ac:dyDescent="0.25">
      <c r="A29" s="17">
        <v>25</v>
      </c>
      <c r="B29" s="18">
        <v>2</v>
      </c>
      <c r="C29" s="19">
        <v>8</v>
      </c>
      <c r="D29" s="20" t="s">
        <v>74</v>
      </c>
      <c r="E29" s="20" t="s">
        <v>75</v>
      </c>
      <c r="F29" s="17" t="s">
        <v>27</v>
      </c>
      <c r="G29" s="21" t="s">
        <v>46</v>
      </c>
      <c r="H29" s="22"/>
      <c r="I29" s="23"/>
    </row>
    <row r="30" spans="1:9" x14ac:dyDescent="0.25">
      <c r="A30" s="17">
        <v>26</v>
      </c>
      <c r="B30" s="18">
        <v>2</v>
      </c>
      <c r="C30" s="19">
        <v>8</v>
      </c>
      <c r="D30" s="20" t="s">
        <v>74</v>
      </c>
      <c r="E30" s="20" t="s">
        <v>76</v>
      </c>
      <c r="F30" s="17" t="s">
        <v>26</v>
      </c>
      <c r="G30" s="21" t="s">
        <v>46</v>
      </c>
      <c r="H30" s="22"/>
      <c r="I30" s="23"/>
    </row>
    <row r="31" spans="1:9" x14ac:dyDescent="0.25">
      <c r="A31" s="17">
        <v>27</v>
      </c>
      <c r="B31" s="18">
        <v>2</v>
      </c>
      <c r="C31" s="19">
        <v>8</v>
      </c>
      <c r="D31" s="20" t="s">
        <v>63</v>
      </c>
      <c r="E31" s="20" t="s">
        <v>77</v>
      </c>
      <c r="F31" s="17" t="s">
        <v>27</v>
      </c>
      <c r="G31" s="21" t="s">
        <v>46</v>
      </c>
      <c r="H31" s="22"/>
      <c r="I31" s="23"/>
    </row>
    <row r="32" spans="1:9" x14ac:dyDescent="0.25">
      <c r="A32" s="17">
        <v>28</v>
      </c>
      <c r="B32" s="18">
        <v>2</v>
      </c>
      <c r="C32" s="19">
        <v>8</v>
      </c>
      <c r="D32" s="20" t="s">
        <v>63</v>
      </c>
      <c r="E32" s="20" t="s">
        <v>78</v>
      </c>
      <c r="F32" s="17" t="s">
        <v>28</v>
      </c>
      <c r="G32" s="21" t="s">
        <v>46</v>
      </c>
      <c r="H32" s="22"/>
      <c r="I32" s="23"/>
    </row>
    <row r="33" spans="1:9" x14ac:dyDescent="0.25">
      <c r="A33" s="17">
        <v>29</v>
      </c>
      <c r="B33" s="18">
        <v>3</v>
      </c>
      <c r="C33" s="19">
        <v>9</v>
      </c>
      <c r="D33" s="20" t="s">
        <v>79</v>
      </c>
      <c r="E33" s="20" t="s">
        <v>80</v>
      </c>
      <c r="F33" s="17" t="s">
        <v>26</v>
      </c>
      <c r="G33" s="21" t="s">
        <v>46</v>
      </c>
      <c r="H33" s="22"/>
      <c r="I33" s="23"/>
    </row>
    <row r="34" spans="1:9" x14ac:dyDescent="0.25">
      <c r="A34" s="17">
        <v>30</v>
      </c>
      <c r="B34" s="18">
        <v>3</v>
      </c>
      <c r="C34" s="19">
        <v>9</v>
      </c>
      <c r="D34" s="20" t="s">
        <v>79</v>
      </c>
      <c r="E34" s="20" t="s">
        <v>81</v>
      </c>
      <c r="F34" s="17" t="s">
        <v>27</v>
      </c>
      <c r="G34" s="21" t="s">
        <v>46</v>
      </c>
      <c r="H34" s="22"/>
      <c r="I34" s="23"/>
    </row>
    <row r="35" spans="1:9" x14ac:dyDescent="0.25">
      <c r="A35" s="17">
        <v>31</v>
      </c>
      <c r="B35" s="18">
        <v>3</v>
      </c>
      <c r="C35" s="19">
        <v>9</v>
      </c>
      <c r="D35" s="20" t="s">
        <v>79</v>
      </c>
      <c r="E35" s="20" t="s">
        <v>82</v>
      </c>
      <c r="F35" s="17" t="s">
        <v>27</v>
      </c>
      <c r="G35" s="21" t="s">
        <v>46</v>
      </c>
      <c r="H35" s="22"/>
      <c r="I35" s="23"/>
    </row>
    <row r="36" spans="1:9" x14ac:dyDescent="0.25">
      <c r="A36" s="17">
        <v>32</v>
      </c>
      <c r="B36" s="18">
        <v>3</v>
      </c>
      <c r="C36" s="19">
        <v>10</v>
      </c>
      <c r="D36" s="20" t="s">
        <v>83</v>
      </c>
      <c r="E36" s="20" t="s">
        <v>84</v>
      </c>
      <c r="F36" s="17" t="s">
        <v>26</v>
      </c>
      <c r="G36" s="21" t="s">
        <v>46</v>
      </c>
      <c r="H36" s="22"/>
      <c r="I36" s="23"/>
    </row>
    <row r="37" spans="1:9" x14ac:dyDescent="0.25">
      <c r="A37" s="17">
        <v>33</v>
      </c>
      <c r="B37" s="18">
        <v>3</v>
      </c>
      <c r="C37" s="19">
        <v>10</v>
      </c>
      <c r="D37" s="20" t="s">
        <v>83</v>
      </c>
      <c r="E37" s="20" t="s">
        <v>85</v>
      </c>
      <c r="F37" s="17" t="s">
        <v>26</v>
      </c>
      <c r="G37" s="21" t="s">
        <v>46</v>
      </c>
      <c r="H37" s="22"/>
      <c r="I37" s="23"/>
    </row>
    <row r="38" spans="1:9" x14ac:dyDescent="0.25">
      <c r="A38" s="17">
        <v>34</v>
      </c>
      <c r="B38" s="18">
        <v>3</v>
      </c>
      <c r="C38" s="19">
        <v>10</v>
      </c>
      <c r="D38" s="20" t="s">
        <v>83</v>
      </c>
      <c r="E38" s="20" t="s">
        <v>86</v>
      </c>
      <c r="F38" s="17" t="s">
        <v>27</v>
      </c>
      <c r="G38" s="21" t="s">
        <v>46</v>
      </c>
      <c r="H38" s="22"/>
      <c r="I38" s="23"/>
    </row>
    <row r="39" spans="1:9" x14ac:dyDescent="0.25">
      <c r="A39" s="17">
        <v>35</v>
      </c>
      <c r="B39" s="18">
        <v>3</v>
      </c>
      <c r="C39" s="19">
        <v>11</v>
      </c>
      <c r="D39" s="20" t="s">
        <v>87</v>
      </c>
      <c r="E39" s="20" t="s">
        <v>88</v>
      </c>
      <c r="F39" s="17" t="s">
        <v>27</v>
      </c>
      <c r="G39" s="21" t="s">
        <v>46</v>
      </c>
      <c r="H39" s="22"/>
      <c r="I39" s="23"/>
    </row>
    <row r="40" spans="1:9" x14ac:dyDescent="0.25">
      <c r="A40" s="17">
        <v>36</v>
      </c>
      <c r="B40" s="18">
        <v>3</v>
      </c>
      <c r="C40" s="19">
        <v>11</v>
      </c>
      <c r="D40" s="20" t="s">
        <v>87</v>
      </c>
      <c r="E40" s="20" t="s">
        <v>89</v>
      </c>
      <c r="F40" s="17" t="s">
        <v>26</v>
      </c>
      <c r="G40" s="21" t="s">
        <v>46</v>
      </c>
      <c r="H40" s="22"/>
      <c r="I40" s="23"/>
    </row>
    <row r="41" spans="1:9" x14ac:dyDescent="0.25">
      <c r="A41" s="17">
        <v>37</v>
      </c>
      <c r="B41" s="18">
        <v>3</v>
      </c>
      <c r="C41" s="19">
        <v>11</v>
      </c>
      <c r="D41" s="20" t="s">
        <v>87</v>
      </c>
      <c r="E41" s="20" t="s">
        <v>90</v>
      </c>
      <c r="F41" s="17" t="s">
        <v>27</v>
      </c>
      <c r="G41" s="21" t="s">
        <v>46</v>
      </c>
      <c r="H41" s="22"/>
      <c r="I41" s="23"/>
    </row>
    <row r="42" spans="1:9" x14ac:dyDescent="0.25">
      <c r="A42" s="17">
        <v>38</v>
      </c>
      <c r="B42" s="18">
        <v>3</v>
      </c>
      <c r="C42" s="19">
        <v>12</v>
      </c>
      <c r="D42" s="20" t="s">
        <v>91</v>
      </c>
      <c r="E42" s="20" t="s">
        <v>92</v>
      </c>
      <c r="F42" s="17" t="s">
        <v>26</v>
      </c>
      <c r="G42" s="21" t="s">
        <v>46</v>
      </c>
      <c r="H42" s="22"/>
      <c r="I42" s="23"/>
    </row>
    <row r="43" spans="1:9" x14ac:dyDescent="0.25">
      <c r="A43" s="17">
        <v>39</v>
      </c>
      <c r="B43" s="18">
        <v>3</v>
      </c>
      <c r="C43" s="19">
        <v>12</v>
      </c>
      <c r="D43" s="20" t="s">
        <v>91</v>
      </c>
      <c r="E43" s="20" t="s">
        <v>93</v>
      </c>
      <c r="F43" s="17" t="s">
        <v>27</v>
      </c>
      <c r="G43" s="21" t="s">
        <v>46</v>
      </c>
      <c r="H43" s="22"/>
      <c r="I43" s="23"/>
    </row>
    <row r="44" spans="1:9" x14ac:dyDescent="0.25">
      <c r="A44" s="17">
        <v>40</v>
      </c>
      <c r="B44" s="18">
        <v>3</v>
      </c>
      <c r="C44" s="19">
        <v>12</v>
      </c>
      <c r="D44" s="20" t="s">
        <v>94</v>
      </c>
      <c r="E44" s="20" t="s">
        <v>95</v>
      </c>
      <c r="F44" s="17" t="s">
        <v>26</v>
      </c>
      <c r="G44" s="21" t="s">
        <v>46</v>
      </c>
      <c r="H44" s="22"/>
      <c r="I44" s="23"/>
    </row>
    <row r="45" spans="1:9" x14ac:dyDescent="0.25">
      <c r="A45" s="17">
        <v>41</v>
      </c>
      <c r="B45" s="18">
        <v>3</v>
      </c>
      <c r="C45" s="19">
        <v>12</v>
      </c>
      <c r="D45" s="20" t="s">
        <v>91</v>
      </c>
      <c r="E45" s="20" t="s">
        <v>96</v>
      </c>
      <c r="F45" s="17" t="s">
        <v>28</v>
      </c>
      <c r="G45" s="21" t="s">
        <v>46</v>
      </c>
      <c r="H45" s="22"/>
      <c r="I45" s="23"/>
    </row>
    <row r="46" spans="1:9" ht="25.5" x14ac:dyDescent="0.25">
      <c r="A46" s="17">
        <v>42</v>
      </c>
      <c r="B46" s="18">
        <v>4</v>
      </c>
      <c r="C46" s="19">
        <v>13</v>
      </c>
      <c r="D46" s="20" t="s">
        <v>97</v>
      </c>
      <c r="E46" s="20" t="s">
        <v>98</v>
      </c>
      <c r="F46" s="17" t="s">
        <v>26</v>
      </c>
      <c r="G46" s="21" t="s">
        <v>46</v>
      </c>
      <c r="H46" s="22"/>
      <c r="I46" s="23"/>
    </row>
    <row r="47" spans="1:9" x14ac:dyDescent="0.25">
      <c r="A47" s="17">
        <v>43</v>
      </c>
      <c r="B47" s="18">
        <v>4</v>
      </c>
      <c r="C47" s="19">
        <v>13</v>
      </c>
      <c r="D47" s="20" t="s">
        <v>97</v>
      </c>
      <c r="E47" s="20" t="s">
        <v>99</v>
      </c>
      <c r="F47" s="17" t="s">
        <v>26</v>
      </c>
      <c r="G47" s="21" t="s">
        <v>46</v>
      </c>
      <c r="H47" s="22"/>
      <c r="I47" s="23"/>
    </row>
    <row r="48" spans="1:9" ht="25.5" x14ac:dyDescent="0.25">
      <c r="A48" s="17">
        <v>44</v>
      </c>
      <c r="B48" s="18">
        <v>4</v>
      </c>
      <c r="C48" s="19">
        <v>13</v>
      </c>
      <c r="D48" s="20" t="s">
        <v>97</v>
      </c>
      <c r="E48" s="20" t="s">
        <v>100</v>
      </c>
      <c r="F48" s="17" t="s">
        <v>26</v>
      </c>
      <c r="G48" s="21" t="s">
        <v>46</v>
      </c>
      <c r="H48" s="22"/>
      <c r="I48" s="23"/>
    </row>
    <row r="49" spans="1:9" x14ac:dyDescent="0.25">
      <c r="A49" s="17">
        <v>45</v>
      </c>
      <c r="B49" s="18">
        <v>4</v>
      </c>
      <c r="C49" s="19">
        <v>14</v>
      </c>
      <c r="D49" s="20" t="s">
        <v>97</v>
      </c>
      <c r="E49" s="20" t="s">
        <v>101</v>
      </c>
      <c r="F49" s="17" t="s">
        <v>26</v>
      </c>
      <c r="G49" s="21" t="s">
        <v>46</v>
      </c>
      <c r="H49" s="22"/>
      <c r="I49" s="23"/>
    </row>
    <row r="50" spans="1:9" x14ac:dyDescent="0.25">
      <c r="A50" s="17">
        <v>46</v>
      </c>
      <c r="B50" s="18">
        <v>4</v>
      </c>
      <c r="C50" s="19">
        <v>14</v>
      </c>
      <c r="D50" s="20" t="s">
        <v>97</v>
      </c>
      <c r="E50" s="20" t="s">
        <v>102</v>
      </c>
      <c r="F50" s="17" t="s">
        <v>26</v>
      </c>
      <c r="G50" s="21" t="s">
        <v>46</v>
      </c>
      <c r="H50" s="22"/>
      <c r="I50" s="23"/>
    </row>
    <row r="51" spans="1:9" x14ac:dyDescent="0.25">
      <c r="A51" s="17">
        <v>47</v>
      </c>
      <c r="B51" s="18">
        <v>4</v>
      </c>
      <c r="C51" s="19">
        <v>14</v>
      </c>
      <c r="D51" s="20" t="s">
        <v>97</v>
      </c>
      <c r="E51" s="20" t="s">
        <v>103</v>
      </c>
      <c r="F51" s="17" t="s">
        <v>26</v>
      </c>
      <c r="G51" s="21" t="s">
        <v>46</v>
      </c>
      <c r="H51" s="22"/>
      <c r="I51" s="23"/>
    </row>
    <row r="52" spans="1:9" x14ac:dyDescent="0.25">
      <c r="A52" s="17">
        <v>48</v>
      </c>
      <c r="B52" s="18">
        <v>4</v>
      </c>
      <c r="C52" s="19">
        <v>15</v>
      </c>
      <c r="D52" s="20" t="s">
        <v>104</v>
      </c>
      <c r="E52" s="20" t="s">
        <v>105</v>
      </c>
      <c r="F52" s="17" t="s">
        <v>27</v>
      </c>
      <c r="G52" s="21" t="s">
        <v>46</v>
      </c>
      <c r="H52" s="22"/>
      <c r="I52" s="23"/>
    </row>
    <row r="53" spans="1:9" x14ac:dyDescent="0.25">
      <c r="A53" s="17">
        <v>49</v>
      </c>
      <c r="B53" s="18">
        <v>4</v>
      </c>
      <c r="C53" s="19">
        <v>15</v>
      </c>
      <c r="D53" s="20" t="s">
        <v>104</v>
      </c>
      <c r="E53" s="20" t="s">
        <v>106</v>
      </c>
      <c r="F53" s="17" t="s">
        <v>27</v>
      </c>
      <c r="G53" s="21" t="s">
        <v>46</v>
      </c>
      <c r="H53" s="22"/>
      <c r="I53" s="23"/>
    </row>
    <row r="54" spans="1:9" x14ac:dyDescent="0.25">
      <c r="A54" s="17">
        <v>50</v>
      </c>
      <c r="B54" s="18">
        <v>4</v>
      </c>
      <c r="C54" s="19">
        <v>15</v>
      </c>
      <c r="D54" s="20" t="s">
        <v>104</v>
      </c>
      <c r="E54" s="20" t="s">
        <v>107</v>
      </c>
      <c r="F54" s="17" t="s">
        <v>27</v>
      </c>
      <c r="G54" s="21" t="s">
        <v>46</v>
      </c>
      <c r="H54" s="22"/>
      <c r="I54" s="23"/>
    </row>
    <row r="55" spans="1:9" x14ac:dyDescent="0.25">
      <c r="A55" s="17">
        <v>51</v>
      </c>
      <c r="B55" s="18">
        <v>4</v>
      </c>
      <c r="C55" s="19">
        <v>16</v>
      </c>
      <c r="D55" s="20" t="s">
        <v>108</v>
      </c>
      <c r="E55" s="20" t="s">
        <v>109</v>
      </c>
      <c r="F55" s="17" t="s">
        <v>28</v>
      </c>
      <c r="G55" s="21" t="s">
        <v>46</v>
      </c>
      <c r="H55" s="22"/>
      <c r="I55" s="23"/>
    </row>
    <row r="56" spans="1:9" x14ac:dyDescent="0.25">
      <c r="A56" s="17">
        <v>52</v>
      </c>
      <c r="B56" s="18">
        <v>4</v>
      </c>
      <c r="C56" s="19">
        <v>16</v>
      </c>
      <c r="D56" s="20" t="s">
        <v>104</v>
      </c>
      <c r="E56" s="20" t="s">
        <v>110</v>
      </c>
      <c r="F56" s="17" t="s">
        <v>28</v>
      </c>
      <c r="G56" s="21" t="s">
        <v>46</v>
      </c>
      <c r="H56" s="22"/>
      <c r="I56" s="23"/>
    </row>
    <row r="57" spans="1:9" x14ac:dyDescent="0.25">
      <c r="A57" s="17">
        <v>53</v>
      </c>
      <c r="B57" s="18">
        <v>4</v>
      </c>
      <c r="C57" s="19">
        <v>16</v>
      </c>
      <c r="D57" s="20" t="s">
        <v>104</v>
      </c>
      <c r="E57" s="20" t="s">
        <v>111</v>
      </c>
      <c r="F57" s="17" t="s">
        <v>28</v>
      </c>
      <c r="G57" s="21" t="s">
        <v>46</v>
      </c>
      <c r="H57" s="22"/>
      <c r="I57" s="23"/>
    </row>
  </sheetData>
  <autoFilter ref="A4:I57"/>
  <conditionalFormatting sqref="G5:G57">
    <cfRule type="cellIs" dxfId="3" priority="2" operator="equal">
      <formula>"Done"</formula>
    </cfRule>
    <cfRule type="cellIs" dxfId="2" priority="3" operator="equal">
      <formula>"In Progress"</formula>
    </cfRule>
  </conditionalFormatting>
  <conditionalFormatting sqref="A5:F57">
    <cfRule type="expression" dxfId="1" priority="4">
      <formula>$F5="Milestone"</formula>
    </cfRule>
  </conditionalFormatting>
  <dataValidations count="1">
    <dataValidation type="list" sqref="G5:G57">
      <formula1>"Not Started,In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2" width="10" customWidth="1"/>
    <col min="3" max="4" width="9" customWidth="1"/>
    <col min="5" max="6" width="14" customWidth="1"/>
    <col min="7" max="7" width="16" customWidth="1"/>
    <col min="8" max="8" width="60" customWidth="1"/>
  </cols>
  <sheetData>
    <row r="1" spans="1:8" ht="20.25" x14ac:dyDescent="0.3">
      <c r="A1" s="1" t="s">
        <v>112</v>
      </c>
    </row>
    <row r="2" spans="1:8" x14ac:dyDescent="0.25">
      <c r="A2" s="2" t="s">
        <v>113</v>
      </c>
    </row>
    <row r="4" spans="1:8" x14ac:dyDescent="0.25">
      <c r="A4" s="14" t="s">
        <v>38</v>
      </c>
      <c r="B4" s="14" t="s">
        <v>15</v>
      </c>
      <c r="C4" s="14" t="s">
        <v>17</v>
      </c>
      <c r="D4" s="14" t="s">
        <v>18</v>
      </c>
      <c r="E4" s="14" t="s">
        <v>19</v>
      </c>
      <c r="F4" s="14" t="s">
        <v>114</v>
      </c>
      <c r="G4" s="14" t="s">
        <v>115</v>
      </c>
      <c r="H4" s="14" t="s">
        <v>116</v>
      </c>
    </row>
    <row r="5" spans="1:8" x14ac:dyDescent="0.25">
      <c r="A5" s="19">
        <v>1</v>
      </c>
      <c r="B5" s="18">
        <f>INT((1-1)/4)+1</f>
        <v>1</v>
      </c>
      <c r="C5" s="24">
        <f>COUNTIF('Weekly Plan'!$C$5:$C$57,A5)</f>
        <v>3</v>
      </c>
      <c r="D5" s="24">
        <f>COUNTIFS('Weekly Plan'!$C$5:$C$57,A5,'Weekly Plan'!$G$5:$G$57,"Done")</f>
        <v>0</v>
      </c>
      <c r="E5" s="25">
        <f t="shared" ref="E5:E21" si="0">IF(C5=0,0,D5/C5)</f>
        <v>0</v>
      </c>
      <c r="F5" s="26"/>
      <c r="G5" s="21"/>
      <c r="H5" s="23"/>
    </row>
    <row r="6" spans="1:8" x14ac:dyDescent="0.25">
      <c r="A6" s="19">
        <v>2</v>
      </c>
      <c r="B6" s="18">
        <f>INT((2-1)/4)+1</f>
        <v>1</v>
      </c>
      <c r="C6" s="24">
        <f>COUNTIF('Weekly Plan'!$C$5:$C$57,A6)</f>
        <v>3</v>
      </c>
      <c r="D6" s="24">
        <f>COUNTIFS('Weekly Plan'!$C$5:$C$57,A6,'Weekly Plan'!$G$5:$G$57,"Done")</f>
        <v>0</v>
      </c>
      <c r="E6" s="25">
        <f t="shared" si="0"/>
        <v>0</v>
      </c>
      <c r="F6" s="26"/>
      <c r="G6" s="21"/>
      <c r="H6" s="23"/>
    </row>
    <row r="7" spans="1:8" x14ac:dyDescent="0.25">
      <c r="A7" s="19">
        <v>3</v>
      </c>
      <c r="B7" s="18">
        <f>INT((3-1)/4)+1</f>
        <v>1</v>
      </c>
      <c r="C7" s="24">
        <f>COUNTIF('Weekly Plan'!$C$5:$C$57,A7)</f>
        <v>4</v>
      </c>
      <c r="D7" s="24">
        <f>COUNTIFS('Weekly Plan'!$C$5:$C$57,A7,'Weekly Plan'!$G$5:$G$57,"Done")</f>
        <v>0</v>
      </c>
      <c r="E7" s="25">
        <f t="shared" si="0"/>
        <v>0</v>
      </c>
      <c r="F7" s="26"/>
      <c r="G7" s="21"/>
      <c r="H7" s="23"/>
    </row>
    <row r="8" spans="1:8" x14ac:dyDescent="0.25">
      <c r="A8" s="19">
        <v>4</v>
      </c>
      <c r="B8" s="18">
        <f>INT((4-1)/4)+1</f>
        <v>1</v>
      </c>
      <c r="C8" s="24">
        <f>COUNTIF('Weekly Plan'!$C$5:$C$57,A8)</f>
        <v>5</v>
      </c>
      <c r="D8" s="24">
        <f>COUNTIFS('Weekly Plan'!$C$5:$C$57,A8,'Weekly Plan'!$G$5:$G$57,"Done")</f>
        <v>0</v>
      </c>
      <c r="E8" s="25">
        <f t="shared" si="0"/>
        <v>0</v>
      </c>
      <c r="F8" s="26"/>
      <c r="G8" s="21"/>
      <c r="H8" s="23"/>
    </row>
    <row r="9" spans="1:8" x14ac:dyDescent="0.25">
      <c r="A9" s="19">
        <v>5</v>
      </c>
      <c r="B9" s="18">
        <f>INT((5-1)/4)+1</f>
        <v>2</v>
      </c>
      <c r="C9" s="24">
        <f>COUNTIF('Weekly Plan'!$C$5:$C$57,A9)</f>
        <v>3</v>
      </c>
      <c r="D9" s="24">
        <f>COUNTIFS('Weekly Plan'!$C$5:$C$57,A9,'Weekly Plan'!$G$5:$G$57,"Done")</f>
        <v>0</v>
      </c>
      <c r="E9" s="25">
        <f t="shared" si="0"/>
        <v>0</v>
      </c>
      <c r="F9" s="26"/>
      <c r="G9" s="21"/>
      <c r="H9" s="23"/>
    </row>
    <row r="10" spans="1:8" x14ac:dyDescent="0.25">
      <c r="A10" s="19">
        <v>6</v>
      </c>
      <c r="B10" s="18">
        <f>INT((6-1)/4)+1</f>
        <v>2</v>
      </c>
      <c r="C10" s="24">
        <f>COUNTIF('Weekly Plan'!$C$5:$C$57,A10)</f>
        <v>3</v>
      </c>
      <c r="D10" s="24">
        <f>COUNTIFS('Weekly Plan'!$C$5:$C$57,A10,'Weekly Plan'!$G$5:$G$57,"Done")</f>
        <v>0</v>
      </c>
      <c r="E10" s="25">
        <f t="shared" si="0"/>
        <v>0</v>
      </c>
      <c r="F10" s="26"/>
      <c r="G10" s="21"/>
      <c r="H10" s="23"/>
    </row>
    <row r="11" spans="1:8" x14ac:dyDescent="0.25">
      <c r="A11" s="19">
        <v>7</v>
      </c>
      <c r="B11" s="18">
        <f>INT((7-1)/4)+1</f>
        <v>2</v>
      </c>
      <c r="C11" s="24">
        <f>COUNTIF('Weekly Plan'!$C$5:$C$57,A11)</f>
        <v>3</v>
      </c>
      <c r="D11" s="24">
        <f>COUNTIFS('Weekly Plan'!$C$5:$C$57,A11,'Weekly Plan'!$G$5:$G$57,"Done")</f>
        <v>0</v>
      </c>
      <c r="E11" s="25">
        <f t="shared" si="0"/>
        <v>0</v>
      </c>
      <c r="F11" s="26"/>
      <c r="G11" s="21"/>
      <c r="H11" s="23"/>
    </row>
    <row r="12" spans="1:8" x14ac:dyDescent="0.25">
      <c r="A12" s="19">
        <v>8</v>
      </c>
      <c r="B12" s="18">
        <f>INT((8-1)/4)+1</f>
        <v>2</v>
      </c>
      <c r="C12" s="24">
        <f>COUNTIF('Weekly Plan'!$C$5:$C$57,A12)</f>
        <v>4</v>
      </c>
      <c r="D12" s="24">
        <f>COUNTIFS('Weekly Plan'!$C$5:$C$57,A12,'Weekly Plan'!$G$5:$G$57,"Done")</f>
        <v>0</v>
      </c>
      <c r="E12" s="25">
        <f t="shared" si="0"/>
        <v>0</v>
      </c>
      <c r="F12" s="26"/>
      <c r="G12" s="21"/>
      <c r="H12" s="23"/>
    </row>
    <row r="13" spans="1:8" x14ac:dyDescent="0.25">
      <c r="A13" s="19">
        <v>9</v>
      </c>
      <c r="B13" s="18">
        <f>INT((9-1)/4)+1</f>
        <v>3</v>
      </c>
      <c r="C13" s="24">
        <f>COUNTIF('Weekly Plan'!$C$5:$C$57,A13)</f>
        <v>3</v>
      </c>
      <c r="D13" s="24">
        <f>COUNTIFS('Weekly Plan'!$C$5:$C$57,A13,'Weekly Plan'!$G$5:$G$57,"Done")</f>
        <v>0</v>
      </c>
      <c r="E13" s="25">
        <f t="shared" si="0"/>
        <v>0</v>
      </c>
      <c r="F13" s="26"/>
      <c r="G13" s="21"/>
      <c r="H13" s="23"/>
    </row>
    <row r="14" spans="1:8" x14ac:dyDescent="0.25">
      <c r="A14" s="19">
        <v>10</v>
      </c>
      <c r="B14" s="18">
        <f>INT((10-1)/4)+1</f>
        <v>3</v>
      </c>
      <c r="C14" s="24">
        <f>COUNTIF('Weekly Plan'!$C$5:$C$57,A14)</f>
        <v>3</v>
      </c>
      <c r="D14" s="24">
        <f>COUNTIFS('Weekly Plan'!$C$5:$C$57,A14,'Weekly Plan'!$G$5:$G$57,"Done")</f>
        <v>0</v>
      </c>
      <c r="E14" s="25">
        <f t="shared" si="0"/>
        <v>0</v>
      </c>
      <c r="F14" s="26"/>
      <c r="G14" s="21"/>
      <c r="H14" s="23"/>
    </row>
    <row r="15" spans="1:8" x14ac:dyDescent="0.25">
      <c r="A15" s="19">
        <v>11</v>
      </c>
      <c r="B15" s="18">
        <f>INT((11-1)/4)+1</f>
        <v>3</v>
      </c>
      <c r="C15" s="24">
        <f>COUNTIF('Weekly Plan'!$C$5:$C$57,A15)</f>
        <v>3</v>
      </c>
      <c r="D15" s="24">
        <f>COUNTIFS('Weekly Plan'!$C$5:$C$57,A15,'Weekly Plan'!$G$5:$G$57,"Done")</f>
        <v>0</v>
      </c>
      <c r="E15" s="25">
        <f t="shared" si="0"/>
        <v>0</v>
      </c>
      <c r="F15" s="26"/>
      <c r="G15" s="21"/>
      <c r="H15" s="23"/>
    </row>
    <row r="16" spans="1:8" x14ac:dyDescent="0.25">
      <c r="A16" s="19">
        <v>12</v>
      </c>
      <c r="B16" s="18">
        <f>INT((12-1)/4)+1</f>
        <v>3</v>
      </c>
      <c r="C16" s="24">
        <f>COUNTIF('Weekly Plan'!$C$5:$C$57,A16)</f>
        <v>4</v>
      </c>
      <c r="D16" s="24">
        <f>COUNTIFS('Weekly Plan'!$C$5:$C$57,A16,'Weekly Plan'!$G$5:$G$57,"Done")</f>
        <v>0</v>
      </c>
      <c r="E16" s="25">
        <f t="shared" si="0"/>
        <v>0</v>
      </c>
      <c r="F16" s="26"/>
      <c r="G16" s="21"/>
      <c r="H16" s="23"/>
    </row>
    <row r="17" spans="1:8" x14ac:dyDescent="0.25">
      <c r="A17" s="19">
        <v>13</v>
      </c>
      <c r="B17" s="18">
        <f>INT((13-1)/4)+1</f>
        <v>4</v>
      </c>
      <c r="C17" s="24">
        <f>COUNTIF('Weekly Plan'!$C$5:$C$57,A17)</f>
        <v>3</v>
      </c>
      <c r="D17" s="24">
        <f>COUNTIFS('Weekly Plan'!$C$5:$C$57,A17,'Weekly Plan'!$G$5:$G$57,"Done")</f>
        <v>0</v>
      </c>
      <c r="E17" s="25">
        <f t="shared" si="0"/>
        <v>0</v>
      </c>
      <c r="F17" s="26"/>
      <c r="G17" s="21"/>
      <c r="H17" s="23"/>
    </row>
    <row r="18" spans="1:8" x14ac:dyDescent="0.25">
      <c r="A18" s="19">
        <v>14</v>
      </c>
      <c r="B18" s="18">
        <f>INT((14-1)/4)+1</f>
        <v>4</v>
      </c>
      <c r="C18" s="24">
        <f>COUNTIF('Weekly Plan'!$C$5:$C$57,A18)</f>
        <v>3</v>
      </c>
      <c r="D18" s="24">
        <f>COUNTIFS('Weekly Plan'!$C$5:$C$57,A18,'Weekly Plan'!$G$5:$G$57,"Done")</f>
        <v>0</v>
      </c>
      <c r="E18" s="25">
        <f t="shared" si="0"/>
        <v>0</v>
      </c>
      <c r="F18" s="26"/>
      <c r="G18" s="21"/>
      <c r="H18" s="23"/>
    </row>
    <row r="19" spans="1:8" x14ac:dyDescent="0.25">
      <c r="A19" s="19">
        <v>15</v>
      </c>
      <c r="B19" s="18">
        <f>INT((15-1)/4)+1</f>
        <v>4</v>
      </c>
      <c r="C19" s="24">
        <f>COUNTIF('Weekly Plan'!$C$5:$C$57,A19)</f>
        <v>3</v>
      </c>
      <c r="D19" s="24">
        <f>COUNTIFS('Weekly Plan'!$C$5:$C$57,A19,'Weekly Plan'!$G$5:$G$57,"Done")</f>
        <v>0</v>
      </c>
      <c r="E19" s="25">
        <f t="shared" si="0"/>
        <v>0</v>
      </c>
      <c r="F19" s="26"/>
      <c r="G19" s="21"/>
      <c r="H19" s="23"/>
    </row>
    <row r="20" spans="1:8" x14ac:dyDescent="0.25">
      <c r="A20" s="19">
        <v>16</v>
      </c>
      <c r="B20" s="18">
        <f>INT((16-1)/4)+1</f>
        <v>4</v>
      </c>
      <c r="C20" s="24">
        <f>COUNTIF('Weekly Plan'!$C$5:$C$57,A20)</f>
        <v>3</v>
      </c>
      <c r="D20" s="24">
        <f>COUNTIFS('Weekly Plan'!$C$5:$C$57,A20,'Weekly Plan'!$G$5:$G$57,"Done")</f>
        <v>0</v>
      </c>
      <c r="E20" s="25">
        <f t="shared" si="0"/>
        <v>0</v>
      </c>
      <c r="F20" s="26"/>
      <c r="G20" s="21"/>
      <c r="H20" s="23"/>
    </row>
    <row r="21" spans="1:8" x14ac:dyDescent="0.25">
      <c r="A21" s="27" t="s">
        <v>117</v>
      </c>
      <c r="C21" s="27">
        <f>SUM(C5:C20)</f>
        <v>53</v>
      </c>
      <c r="D21" s="27">
        <f>SUM(D5:D20)</f>
        <v>0</v>
      </c>
      <c r="E21" s="28">
        <f t="shared" si="0"/>
        <v>0</v>
      </c>
      <c r="F21" s="29">
        <f>SUM(F5:F20)</f>
        <v>0</v>
      </c>
      <c r="G21" s="29">
        <f>IF(COUNT(G5:G20)=0,0,AVERAGE(G5:G20))</f>
        <v>0</v>
      </c>
    </row>
  </sheetData>
  <dataValidations count="1">
    <dataValidation type="whole" allowBlank="1" sqref="G5:G20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Normal="100" workbookViewId="0"/>
  </sheetViews>
  <sheetFormatPr defaultColWidth="8.7109375" defaultRowHeight="15" x14ac:dyDescent="0.25"/>
  <cols>
    <col min="1" max="1" width="52" customWidth="1"/>
    <col min="2" max="2" width="20" customWidth="1"/>
    <col min="3" max="3" width="12" customWidth="1"/>
    <col min="4" max="6" width="16" customWidth="1"/>
    <col min="7" max="7" width="50" customWidth="1"/>
  </cols>
  <sheetData>
    <row r="1" spans="1:7" ht="20.25" x14ac:dyDescent="0.3">
      <c r="A1" s="1" t="s">
        <v>118</v>
      </c>
    </row>
    <row r="2" spans="1:7" x14ac:dyDescent="0.25">
      <c r="A2" s="2" t="s">
        <v>119</v>
      </c>
    </row>
    <row r="4" spans="1:7" x14ac:dyDescent="0.25">
      <c r="A4" s="14" t="s">
        <v>108</v>
      </c>
      <c r="B4" s="14" t="s">
        <v>120</v>
      </c>
      <c r="C4" s="14" t="s">
        <v>121</v>
      </c>
      <c r="D4" s="14" t="s">
        <v>122</v>
      </c>
      <c r="E4" s="14" t="s">
        <v>41</v>
      </c>
      <c r="F4" s="14" t="s">
        <v>123</v>
      </c>
      <c r="G4" s="14" t="s">
        <v>43</v>
      </c>
    </row>
    <row r="5" spans="1:7" x14ac:dyDescent="0.25">
      <c r="A5" s="20" t="s">
        <v>124</v>
      </c>
      <c r="B5" s="20" t="s">
        <v>125</v>
      </c>
      <c r="C5" s="20" t="s">
        <v>126</v>
      </c>
      <c r="D5" s="20" t="s">
        <v>127</v>
      </c>
      <c r="E5" s="23" t="s">
        <v>46</v>
      </c>
      <c r="F5" s="23"/>
      <c r="G5" s="20" t="s">
        <v>128</v>
      </c>
    </row>
    <row r="6" spans="1:7" ht="25.5" x14ac:dyDescent="0.25">
      <c r="A6" s="20" t="s">
        <v>129</v>
      </c>
      <c r="B6" s="20" t="s">
        <v>130</v>
      </c>
      <c r="C6" s="20" t="s">
        <v>126</v>
      </c>
      <c r="D6" s="20" t="s">
        <v>127</v>
      </c>
      <c r="E6" s="23" t="s">
        <v>46</v>
      </c>
      <c r="F6" s="23"/>
      <c r="G6" s="20" t="s">
        <v>131</v>
      </c>
    </row>
    <row r="7" spans="1:7" x14ac:dyDescent="0.25">
      <c r="A7" s="20" t="s">
        <v>132</v>
      </c>
      <c r="B7" s="20" t="s">
        <v>125</v>
      </c>
      <c r="C7" s="20" t="s">
        <v>133</v>
      </c>
      <c r="D7" s="20" t="s">
        <v>134</v>
      </c>
      <c r="E7" s="23" t="s">
        <v>46</v>
      </c>
      <c r="F7" s="23"/>
      <c r="G7" s="20" t="s">
        <v>135</v>
      </c>
    </row>
    <row r="8" spans="1:7" x14ac:dyDescent="0.25">
      <c r="A8" s="20" t="s">
        <v>136</v>
      </c>
      <c r="B8" s="20" t="s">
        <v>137</v>
      </c>
      <c r="C8" s="20" t="s">
        <v>138</v>
      </c>
      <c r="D8" s="20" t="s">
        <v>139</v>
      </c>
      <c r="E8" s="23" t="s">
        <v>46</v>
      </c>
      <c r="F8" s="23"/>
      <c r="G8" s="20" t="s">
        <v>140</v>
      </c>
    </row>
  </sheetData>
  <conditionalFormatting sqref="E5:E8">
    <cfRule type="cellIs" dxfId="0" priority="2" operator="equal">
      <formula>"Passed"</formula>
    </cfRule>
  </conditionalFormatting>
  <dataValidations count="1">
    <dataValidation type="list" sqref="E5:E8">
      <formula1>"Not Started,Studying,Booked,Passed,Failed - Retake"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8" customWidth="1"/>
    <col min="3" max="3" width="22" customWidth="1"/>
    <col min="4" max="5" width="48" customWidth="1"/>
    <col min="6" max="6" width="8" customWidth="1"/>
  </cols>
  <sheetData>
    <row r="1" spans="1:6" ht="20.25" x14ac:dyDescent="0.3">
      <c r="A1" s="1" t="s">
        <v>141</v>
      </c>
    </row>
    <row r="2" spans="1:6" x14ac:dyDescent="0.25">
      <c r="A2" s="2" t="s">
        <v>142</v>
      </c>
    </row>
    <row r="4" spans="1:6" x14ac:dyDescent="0.25">
      <c r="A4" s="14" t="s">
        <v>143</v>
      </c>
      <c r="B4" s="14" t="s">
        <v>38</v>
      </c>
      <c r="C4" s="14" t="s">
        <v>144</v>
      </c>
      <c r="D4" s="14" t="s">
        <v>145</v>
      </c>
      <c r="E4" s="14" t="s">
        <v>146</v>
      </c>
      <c r="F4" s="14" t="s">
        <v>147</v>
      </c>
    </row>
    <row r="5" spans="1:6" x14ac:dyDescent="0.25">
      <c r="A5" s="30">
        <v>46307</v>
      </c>
      <c r="B5" s="23">
        <v>1</v>
      </c>
      <c r="C5" s="23" t="s">
        <v>148</v>
      </c>
      <c r="D5" s="23" t="s">
        <v>149</v>
      </c>
      <c r="E5" s="23" t="s">
        <v>150</v>
      </c>
      <c r="F5" s="31">
        <v>1.5</v>
      </c>
    </row>
    <row r="6" spans="1:6" x14ac:dyDescent="0.25">
      <c r="A6" s="30"/>
      <c r="B6" s="23"/>
      <c r="C6" s="23"/>
      <c r="D6" s="23"/>
      <c r="E6" s="23"/>
      <c r="F6" s="31"/>
    </row>
    <row r="7" spans="1:6" x14ac:dyDescent="0.25">
      <c r="A7" s="30"/>
      <c r="B7" s="23"/>
      <c r="C7" s="23"/>
      <c r="D7" s="23"/>
      <c r="E7" s="23"/>
      <c r="F7" s="31"/>
    </row>
    <row r="8" spans="1:6" x14ac:dyDescent="0.25">
      <c r="A8" s="30"/>
      <c r="B8" s="23"/>
      <c r="C8" s="23"/>
      <c r="D8" s="23"/>
      <c r="E8" s="23"/>
      <c r="F8" s="31"/>
    </row>
    <row r="9" spans="1:6" x14ac:dyDescent="0.25">
      <c r="A9" s="30"/>
      <c r="B9" s="23"/>
      <c r="C9" s="23"/>
      <c r="D9" s="23"/>
      <c r="E9" s="23"/>
      <c r="F9" s="31"/>
    </row>
    <row r="10" spans="1:6" x14ac:dyDescent="0.25">
      <c r="A10" s="30"/>
      <c r="B10" s="23"/>
      <c r="C10" s="23"/>
      <c r="D10" s="23"/>
      <c r="E10" s="23"/>
      <c r="F10" s="31"/>
    </row>
    <row r="11" spans="1:6" x14ac:dyDescent="0.25">
      <c r="A11" s="30"/>
      <c r="B11" s="23"/>
      <c r="C11" s="23"/>
      <c r="D11" s="23"/>
      <c r="E11" s="23"/>
      <c r="F11" s="31"/>
    </row>
    <row r="12" spans="1:6" x14ac:dyDescent="0.25">
      <c r="A12" s="30"/>
      <c r="B12" s="23"/>
      <c r="C12" s="23"/>
      <c r="D12" s="23"/>
      <c r="E12" s="23"/>
      <c r="F12" s="31"/>
    </row>
    <row r="13" spans="1:6" x14ac:dyDescent="0.25">
      <c r="A13" s="30"/>
      <c r="B13" s="23"/>
      <c r="C13" s="23"/>
      <c r="D13" s="23"/>
      <c r="E13" s="23"/>
      <c r="F13" s="31"/>
    </row>
    <row r="14" spans="1:6" x14ac:dyDescent="0.25">
      <c r="A14" s="30"/>
      <c r="B14" s="23"/>
      <c r="C14" s="23"/>
      <c r="D14" s="23"/>
      <c r="E14" s="23"/>
      <c r="F14" s="31"/>
    </row>
    <row r="15" spans="1:6" x14ac:dyDescent="0.25">
      <c r="A15" s="30"/>
      <c r="B15" s="23"/>
      <c r="C15" s="23"/>
      <c r="D15" s="23"/>
      <c r="E15" s="23"/>
      <c r="F15" s="31"/>
    </row>
    <row r="16" spans="1:6" x14ac:dyDescent="0.25">
      <c r="A16" s="30"/>
      <c r="B16" s="23"/>
      <c r="C16" s="23"/>
      <c r="D16" s="23"/>
      <c r="E16" s="23"/>
      <c r="F16" s="31"/>
    </row>
    <row r="17" spans="1:6" x14ac:dyDescent="0.25">
      <c r="A17" s="30"/>
      <c r="B17" s="23"/>
      <c r="C17" s="23"/>
      <c r="D17" s="23"/>
      <c r="E17" s="23"/>
      <c r="F17" s="31"/>
    </row>
    <row r="18" spans="1:6" x14ac:dyDescent="0.25">
      <c r="A18" s="30"/>
      <c r="B18" s="23"/>
      <c r="C18" s="23"/>
      <c r="D18" s="23"/>
      <c r="E18" s="23"/>
      <c r="F18" s="31"/>
    </row>
    <row r="19" spans="1:6" x14ac:dyDescent="0.25">
      <c r="A19" s="30"/>
      <c r="B19" s="23"/>
      <c r="C19" s="23"/>
      <c r="D19" s="23"/>
      <c r="E19" s="23"/>
      <c r="F19" s="31"/>
    </row>
    <row r="20" spans="1:6" x14ac:dyDescent="0.25">
      <c r="A20" s="30"/>
      <c r="B20" s="23"/>
      <c r="C20" s="23"/>
      <c r="D20" s="23"/>
      <c r="E20" s="23"/>
      <c r="F20" s="31"/>
    </row>
    <row r="21" spans="1:6" x14ac:dyDescent="0.25">
      <c r="A21" s="30"/>
      <c r="B21" s="23"/>
      <c r="C21" s="23"/>
      <c r="D21" s="23"/>
      <c r="E21" s="23"/>
      <c r="F21" s="31"/>
    </row>
    <row r="22" spans="1:6" x14ac:dyDescent="0.25">
      <c r="A22" s="30"/>
      <c r="B22" s="23"/>
      <c r="C22" s="23"/>
      <c r="D22" s="23"/>
      <c r="E22" s="23"/>
      <c r="F22" s="31"/>
    </row>
    <row r="23" spans="1:6" x14ac:dyDescent="0.25">
      <c r="A23" s="30"/>
      <c r="B23" s="23"/>
      <c r="C23" s="23"/>
      <c r="D23" s="23"/>
      <c r="E23" s="23"/>
      <c r="F23" s="31"/>
    </row>
    <row r="24" spans="1:6" x14ac:dyDescent="0.25">
      <c r="A24" s="30"/>
      <c r="B24" s="23"/>
      <c r="C24" s="23"/>
      <c r="D24" s="23"/>
      <c r="E24" s="23"/>
      <c r="F24" s="31"/>
    </row>
    <row r="25" spans="1:6" x14ac:dyDescent="0.25">
      <c r="A25" s="30"/>
      <c r="B25" s="23"/>
      <c r="C25" s="23"/>
      <c r="D25" s="23"/>
      <c r="E25" s="23"/>
      <c r="F25" s="31"/>
    </row>
    <row r="26" spans="1:6" x14ac:dyDescent="0.25">
      <c r="A26" s="30"/>
      <c r="B26" s="23"/>
      <c r="C26" s="23"/>
      <c r="D26" s="23"/>
      <c r="E26" s="23"/>
      <c r="F26" s="31"/>
    </row>
    <row r="27" spans="1:6" x14ac:dyDescent="0.25">
      <c r="A27" s="30"/>
      <c r="B27" s="23"/>
      <c r="C27" s="23"/>
      <c r="D27" s="23"/>
      <c r="E27" s="23"/>
      <c r="F27" s="31"/>
    </row>
    <row r="28" spans="1:6" x14ac:dyDescent="0.25">
      <c r="A28" s="30"/>
      <c r="B28" s="23"/>
      <c r="C28" s="23"/>
      <c r="D28" s="23"/>
      <c r="E28" s="23"/>
      <c r="F28" s="31"/>
    </row>
    <row r="29" spans="1:6" x14ac:dyDescent="0.25">
      <c r="A29" s="30"/>
      <c r="B29" s="23"/>
      <c r="C29" s="23"/>
      <c r="D29" s="23"/>
      <c r="E29" s="23"/>
      <c r="F29" s="31"/>
    </row>
    <row r="30" spans="1:6" x14ac:dyDescent="0.25">
      <c r="A30" s="30"/>
      <c r="B30" s="23"/>
      <c r="C30" s="23"/>
      <c r="D30" s="23"/>
      <c r="E30" s="23"/>
      <c r="F30" s="31"/>
    </row>
    <row r="31" spans="1:6" x14ac:dyDescent="0.25">
      <c r="A31" s="30"/>
      <c r="B31" s="23"/>
      <c r="C31" s="23"/>
      <c r="D31" s="23"/>
      <c r="E31" s="23"/>
      <c r="F31" s="31"/>
    </row>
    <row r="32" spans="1:6" x14ac:dyDescent="0.25">
      <c r="A32" s="30"/>
      <c r="B32" s="23"/>
      <c r="C32" s="23"/>
      <c r="D32" s="23"/>
      <c r="E32" s="23"/>
      <c r="F32" s="31"/>
    </row>
    <row r="33" spans="1:6" x14ac:dyDescent="0.25">
      <c r="A33" s="30"/>
      <c r="B33" s="23"/>
      <c r="C33" s="23"/>
      <c r="D33" s="23"/>
      <c r="E33" s="23"/>
      <c r="F33" s="31"/>
    </row>
    <row r="34" spans="1:6" x14ac:dyDescent="0.25">
      <c r="A34" s="30"/>
      <c r="B34" s="23"/>
      <c r="C34" s="23"/>
      <c r="D34" s="23"/>
      <c r="E34" s="23"/>
      <c r="F34" s="31"/>
    </row>
    <row r="35" spans="1:6" x14ac:dyDescent="0.25">
      <c r="A35" s="30"/>
      <c r="B35" s="23"/>
      <c r="C35" s="23"/>
      <c r="D35" s="23"/>
      <c r="E35" s="23"/>
      <c r="F35" s="31"/>
    </row>
    <row r="36" spans="1:6" x14ac:dyDescent="0.25">
      <c r="A36" s="30"/>
      <c r="B36" s="23"/>
      <c r="C36" s="23"/>
      <c r="D36" s="23"/>
      <c r="E36" s="23"/>
      <c r="F36" s="31"/>
    </row>
    <row r="37" spans="1:6" x14ac:dyDescent="0.25">
      <c r="A37" s="30"/>
      <c r="B37" s="23"/>
      <c r="C37" s="23"/>
      <c r="D37" s="23"/>
      <c r="E37" s="23"/>
      <c r="F37" s="31"/>
    </row>
    <row r="38" spans="1:6" x14ac:dyDescent="0.25">
      <c r="A38" s="30"/>
      <c r="B38" s="23"/>
      <c r="C38" s="23"/>
      <c r="D38" s="23"/>
      <c r="E38" s="23"/>
      <c r="F38" s="31"/>
    </row>
    <row r="39" spans="1:6" x14ac:dyDescent="0.25">
      <c r="A39" s="30"/>
      <c r="B39" s="23"/>
      <c r="C39" s="23"/>
      <c r="D39" s="23"/>
      <c r="E39" s="23"/>
      <c r="F39" s="31"/>
    </row>
    <row r="40" spans="1:6" x14ac:dyDescent="0.25">
      <c r="A40" s="30"/>
      <c r="B40" s="23"/>
      <c r="C40" s="23"/>
      <c r="D40" s="23"/>
      <c r="E40" s="23"/>
      <c r="F40" s="31"/>
    </row>
    <row r="41" spans="1:6" x14ac:dyDescent="0.25">
      <c r="A41" s="30"/>
      <c r="B41" s="23"/>
      <c r="C41" s="23"/>
      <c r="D41" s="23"/>
      <c r="E41" s="23"/>
      <c r="F41" s="31"/>
    </row>
    <row r="42" spans="1:6" x14ac:dyDescent="0.25">
      <c r="A42" s="30"/>
      <c r="B42" s="23"/>
      <c r="C42" s="23"/>
      <c r="D42" s="23"/>
      <c r="E42" s="23"/>
      <c r="F42" s="31"/>
    </row>
    <row r="43" spans="1:6" x14ac:dyDescent="0.25">
      <c r="A43" s="30"/>
      <c r="B43" s="23"/>
      <c r="C43" s="23"/>
      <c r="D43" s="23"/>
      <c r="E43" s="23"/>
      <c r="F43" s="31"/>
    </row>
    <row r="44" spans="1:6" x14ac:dyDescent="0.25">
      <c r="A44" s="30"/>
      <c r="B44" s="23"/>
      <c r="C44" s="23"/>
      <c r="D44" s="23"/>
      <c r="E44" s="23"/>
      <c r="F44" s="31"/>
    </row>
    <row r="45" spans="1:6" x14ac:dyDescent="0.25">
      <c r="A45" s="30"/>
      <c r="B45" s="23"/>
      <c r="C45" s="23"/>
      <c r="D45" s="23"/>
      <c r="E45" s="23"/>
      <c r="F45" s="31"/>
    </row>
    <row r="46" spans="1:6" x14ac:dyDescent="0.25">
      <c r="A46" s="30"/>
      <c r="B46" s="23"/>
      <c r="C46" s="23"/>
      <c r="D46" s="23"/>
      <c r="E46" s="23"/>
      <c r="F46" s="31"/>
    </row>
    <row r="47" spans="1:6" x14ac:dyDescent="0.25">
      <c r="A47" s="30"/>
      <c r="B47" s="23"/>
      <c r="C47" s="23"/>
      <c r="D47" s="23"/>
      <c r="E47" s="23"/>
      <c r="F47" s="31"/>
    </row>
    <row r="48" spans="1:6" x14ac:dyDescent="0.25">
      <c r="A48" s="30"/>
      <c r="B48" s="23"/>
      <c r="C48" s="23"/>
      <c r="D48" s="23"/>
      <c r="E48" s="23"/>
      <c r="F48" s="31"/>
    </row>
    <row r="49" spans="1:6" x14ac:dyDescent="0.25">
      <c r="A49" s="30"/>
      <c r="B49" s="23"/>
      <c r="C49" s="23"/>
      <c r="D49" s="23"/>
      <c r="E49" s="23"/>
      <c r="F49" s="31"/>
    </row>
    <row r="50" spans="1:6" x14ac:dyDescent="0.25">
      <c r="A50" s="30"/>
      <c r="B50" s="23"/>
      <c r="C50" s="23"/>
      <c r="D50" s="23"/>
      <c r="E50" s="23"/>
      <c r="F50" s="31"/>
    </row>
    <row r="51" spans="1:6" x14ac:dyDescent="0.25">
      <c r="A51" s="30"/>
      <c r="B51" s="23"/>
      <c r="C51" s="23"/>
      <c r="D51" s="23"/>
      <c r="E51" s="23"/>
      <c r="F51" s="31"/>
    </row>
    <row r="52" spans="1:6" x14ac:dyDescent="0.25">
      <c r="A52" s="30"/>
      <c r="B52" s="23"/>
      <c r="C52" s="23"/>
      <c r="D52" s="23"/>
      <c r="E52" s="23"/>
      <c r="F52" s="31"/>
    </row>
    <row r="53" spans="1:6" x14ac:dyDescent="0.25">
      <c r="A53" s="30"/>
      <c r="B53" s="23"/>
      <c r="C53" s="23"/>
      <c r="D53" s="23"/>
      <c r="E53" s="23"/>
      <c r="F53" s="31"/>
    </row>
    <row r="54" spans="1:6" x14ac:dyDescent="0.25">
      <c r="A54" s="30"/>
      <c r="B54" s="23"/>
      <c r="C54" s="23"/>
      <c r="D54" s="23"/>
      <c r="E54" s="23"/>
      <c r="F54" s="31"/>
    </row>
    <row r="55" spans="1:6" x14ac:dyDescent="0.25">
      <c r="A55" s="30"/>
      <c r="B55" s="23"/>
      <c r="C55" s="23"/>
      <c r="D55" s="23"/>
      <c r="E55" s="23"/>
      <c r="F55" s="31"/>
    </row>
    <row r="56" spans="1:6" x14ac:dyDescent="0.25">
      <c r="A56" s="30"/>
      <c r="B56" s="23"/>
      <c r="C56" s="23"/>
      <c r="D56" s="23"/>
      <c r="E56" s="23"/>
      <c r="F56" s="31"/>
    </row>
    <row r="57" spans="1:6" x14ac:dyDescent="0.25">
      <c r="A57" s="30"/>
      <c r="B57" s="23"/>
      <c r="C57" s="23"/>
      <c r="D57" s="23"/>
      <c r="E57" s="23"/>
      <c r="F57" s="31"/>
    </row>
    <row r="58" spans="1:6" x14ac:dyDescent="0.25">
      <c r="A58" s="30"/>
      <c r="B58" s="23"/>
      <c r="C58" s="23"/>
      <c r="D58" s="23"/>
      <c r="E58" s="23"/>
      <c r="F58" s="31"/>
    </row>
    <row r="59" spans="1:6" x14ac:dyDescent="0.25">
      <c r="A59" s="30"/>
      <c r="B59" s="23"/>
      <c r="C59" s="23"/>
      <c r="D59" s="23"/>
      <c r="E59" s="23"/>
      <c r="F59" s="31"/>
    </row>
    <row r="60" spans="1:6" x14ac:dyDescent="0.25">
      <c r="A60" s="30"/>
      <c r="B60" s="23"/>
      <c r="C60" s="23"/>
      <c r="D60" s="23"/>
      <c r="E60" s="23"/>
      <c r="F60" s="31"/>
    </row>
    <row r="61" spans="1:6" x14ac:dyDescent="0.25">
      <c r="A61" s="30"/>
      <c r="B61" s="23"/>
      <c r="C61" s="23"/>
      <c r="D61" s="23"/>
      <c r="E61" s="23"/>
      <c r="F61" s="31"/>
    </row>
    <row r="62" spans="1:6" x14ac:dyDescent="0.25">
      <c r="A62" s="30"/>
      <c r="B62" s="23"/>
      <c r="C62" s="23"/>
      <c r="D62" s="23"/>
      <c r="E62" s="23"/>
      <c r="F62" s="31"/>
    </row>
    <row r="63" spans="1:6" x14ac:dyDescent="0.25">
      <c r="A63" s="30"/>
      <c r="B63" s="23"/>
      <c r="C63" s="23"/>
      <c r="D63" s="23"/>
      <c r="E63" s="23"/>
      <c r="F63" s="31"/>
    </row>
    <row r="64" spans="1:6" x14ac:dyDescent="0.25">
      <c r="A64" s="30"/>
      <c r="B64" s="23"/>
      <c r="C64" s="23"/>
      <c r="D64" s="23"/>
      <c r="E64" s="23"/>
      <c r="F64" s="31"/>
    </row>
    <row r="65" spans="1:6" x14ac:dyDescent="0.25">
      <c r="A65" s="30"/>
      <c r="B65" s="23"/>
      <c r="C65" s="23"/>
      <c r="D65" s="23"/>
      <c r="E65" s="23"/>
      <c r="F65" s="31"/>
    </row>
    <row r="66" spans="1:6" x14ac:dyDescent="0.25">
      <c r="A66" s="30"/>
      <c r="B66" s="23"/>
      <c r="C66" s="23"/>
      <c r="D66" s="23"/>
      <c r="E66" s="23"/>
      <c r="F66" s="31"/>
    </row>
    <row r="67" spans="1:6" x14ac:dyDescent="0.25">
      <c r="A67" s="30"/>
      <c r="B67" s="23"/>
      <c r="C67" s="23"/>
      <c r="D67" s="23"/>
      <c r="E67" s="23"/>
      <c r="F67" s="31"/>
    </row>
    <row r="68" spans="1:6" x14ac:dyDescent="0.25">
      <c r="A68" s="30"/>
      <c r="B68" s="23"/>
      <c r="C68" s="23"/>
      <c r="D68" s="23"/>
      <c r="E68" s="23"/>
      <c r="F68" s="31"/>
    </row>
    <row r="69" spans="1:6" x14ac:dyDescent="0.25">
      <c r="A69" s="30"/>
      <c r="B69" s="23"/>
      <c r="C69" s="23"/>
      <c r="D69" s="23"/>
      <c r="E69" s="23"/>
      <c r="F69" s="31"/>
    </row>
    <row r="70" spans="1:6" x14ac:dyDescent="0.25">
      <c r="A70" s="30"/>
      <c r="B70" s="23"/>
      <c r="C70" s="23"/>
      <c r="D70" s="23"/>
      <c r="E70" s="23"/>
      <c r="F70" s="31"/>
    </row>
    <row r="71" spans="1:6" x14ac:dyDescent="0.25">
      <c r="A71" s="30"/>
      <c r="B71" s="23"/>
      <c r="C71" s="23"/>
      <c r="D71" s="23"/>
      <c r="E71" s="23"/>
      <c r="F71" s="31"/>
    </row>
    <row r="72" spans="1:6" x14ac:dyDescent="0.25">
      <c r="A72" s="30"/>
      <c r="B72" s="23"/>
      <c r="C72" s="23"/>
      <c r="D72" s="23"/>
      <c r="E72" s="23"/>
      <c r="F72" s="31"/>
    </row>
    <row r="73" spans="1:6" x14ac:dyDescent="0.25">
      <c r="A73" s="30"/>
      <c r="B73" s="23"/>
      <c r="C73" s="23"/>
      <c r="D73" s="23"/>
      <c r="E73" s="23"/>
      <c r="F73" s="31"/>
    </row>
    <row r="74" spans="1:6" x14ac:dyDescent="0.25">
      <c r="A74" s="30"/>
      <c r="B74" s="23"/>
      <c r="C74" s="23"/>
      <c r="D74" s="23"/>
      <c r="E74" s="23"/>
      <c r="F74" s="31"/>
    </row>
    <row r="75" spans="1:6" x14ac:dyDescent="0.25">
      <c r="A75" s="30"/>
      <c r="B75" s="23"/>
      <c r="C75" s="23"/>
      <c r="D75" s="23"/>
      <c r="E75" s="23"/>
      <c r="F75" s="31"/>
    </row>
    <row r="76" spans="1:6" x14ac:dyDescent="0.25">
      <c r="A76" s="30"/>
      <c r="B76" s="23"/>
      <c r="C76" s="23"/>
      <c r="D76" s="23"/>
      <c r="E76" s="23"/>
      <c r="F76" s="31"/>
    </row>
    <row r="77" spans="1:6" x14ac:dyDescent="0.25">
      <c r="A77" s="30"/>
      <c r="B77" s="23"/>
      <c r="C77" s="23"/>
      <c r="D77" s="23"/>
      <c r="E77" s="23"/>
      <c r="F77" s="31"/>
    </row>
    <row r="78" spans="1:6" x14ac:dyDescent="0.25">
      <c r="A78" s="30"/>
      <c r="B78" s="23"/>
      <c r="C78" s="23"/>
      <c r="D78" s="23"/>
      <c r="E78" s="23"/>
      <c r="F78" s="31"/>
    </row>
    <row r="79" spans="1:6" x14ac:dyDescent="0.25">
      <c r="A79" s="30"/>
      <c r="B79" s="23"/>
      <c r="C79" s="23"/>
      <c r="D79" s="23"/>
      <c r="E79" s="23"/>
      <c r="F79" s="31"/>
    </row>
    <row r="80" spans="1:6" x14ac:dyDescent="0.25">
      <c r="A80" s="30"/>
      <c r="B80" s="23"/>
      <c r="C80" s="23"/>
      <c r="D80" s="23"/>
      <c r="E80" s="23"/>
      <c r="F80" s="31"/>
    </row>
    <row r="81" spans="1:6" x14ac:dyDescent="0.25">
      <c r="A81" s="30"/>
      <c r="B81" s="23"/>
      <c r="C81" s="23"/>
      <c r="D81" s="23"/>
      <c r="E81" s="23"/>
      <c r="F81" s="31"/>
    </row>
    <row r="82" spans="1:6" x14ac:dyDescent="0.25">
      <c r="A82" s="30"/>
      <c r="B82" s="23"/>
      <c r="C82" s="23"/>
      <c r="D82" s="23"/>
      <c r="E82" s="23"/>
      <c r="F82" s="31"/>
    </row>
    <row r="83" spans="1:6" x14ac:dyDescent="0.25">
      <c r="A83" s="30"/>
      <c r="B83" s="23"/>
      <c r="C83" s="23"/>
      <c r="D83" s="23"/>
      <c r="E83" s="23"/>
      <c r="F83" s="31"/>
    </row>
    <row r="84" spans="1:6" x14ac:dyDescent="0.25">
      <c r="A84" s="30"/>
      <c r="B84" s="23"/>
      <c r="C84" s="23"/>
      <c r="D84" s="23"/>
      <c r="E84" s="23"/>
      <c r="F84" s="31"/>
    </row>
    <row r="85" spans="1:6" x14ac:dyDescent="0.25">
      <c r="A85" s="30"/>
      <c r="B85" s="23"/>
      <c r="C85" s="23"/>
      <c r="D85" s="23"/>
      <c r="E85" s="23"/>
      <c r="F85" s="31"/>
    </row>
    <row r="86" spans="1:6" x14ac:dyDescent="0.25">
      <c r="A86" s="30"/>
      <c r="B86" s="23"/>
      <c r="C86" s="23"/>
      <c r="D86" s="23"/>
      <c r="E86" s="23"/>
      <c r="F86" s="31"/>
    </row>
    <row r="87" spans="1:6" x14ac:dyDescent="0.25">
      <c r="A87" s="30"/>
      <c r="B87" s="23"/>
      <c r="C87" s="23"/>
      <c r="D87" s="23"/>
      <c r="E87" s="23"/>
      <c r="F87" s="31"/>
    </row>
    <row r="88" spans="1:6" x14ac:dyDescent="0.25">
      <c r="A88" s="30"/>
      <c r="B88" s="23"/>
      <c r="C88" s="23"/>
      <c r="D88" s="23"/>
      <c r="E88" s="23"/>
      <c r="F88" s="31"/>
    </row>
    <row r="89" spans="1:6" x14ac:dyDescent="0.25">
      <c r="A89" s="30"/>
      <c r="B89" s="23"/>
      <c r="C89" s="23"/>
      <c r="D89" s="23"/>
      <c r="E89" s="23"/>
      <c r="F89" s="31"/>
    </row>
    <row r="90" spans="1:6" x14ac:dyDescent="0.25">
      <c r="A90" s="30"/>
      <c r="B90" s="23"/>
      <c r="C90" s="23"/>
      <c r="D90" s="23"/>
      <c r="E90" s="23"/>
      <c r="F90" s="31"/>
    </row>
    <row r="91" spans="1:6" x14ac:dyDescent="0.25">
      <c r="A91" s="30"/>
      <c r="B91" s="23"/>
      <c r="C91" s="23"/>
      <c r="D91" s="23"/>
      <c r="E91" s="23"/>
      <c r="F91" s="31"/>
    </row>
    <row r="92" spans="1:6" x14ac:dyDescent="0.25">
      <c r="A92" s="30"/>
      <c r="B92" s="23"/>
      <c r="C92" s="23"/>
      <c r="D92" s="23"/>
      <c r="E92" s="23"/>
      <c r="F92" s="31"/>
    </row>
    <row r="93" spans="1:6" x14ac:dyDescent="0.25">
      <c r="A93" s="30"/>
      <c r="B93" s="23"/>
      <c r="C93" s="23"/>
      <c r="D93" s="23"/>
      <c r="E93" s="23"/>
      <c r="F93" s="31"/>
    </row>
    <row r="94" spans="1:6" x14ac:dyDescent="0.25">
      <c r="A94" s="30"/>
      <c r="B94" s="23"/>
      <c r="C94" s="23"/>
      <c r="D94" s="23"/>
      <c r="E94" s="23"/>
      <c r="F94" s="31"/>
    </row>
    <row r="95" spans="1:6" x14ac:dyDescent="0.25">
      <c r="A95" s="30"/>
      <c r="B95" s="23"/>
      <c r="C95" s="23"/>
      <c r="D95" s="23"/>
      <c r="E95" s="23"/>
      <c r="F95" s="31"/>
    </row>
    <row r="96" spans="1:6" x14ac:dyDescent="0.25">
      <c r="A96" s="30"/>
      <c r="B96" s="23"/>
      <c r="C96" s="23"/>
      <c r="D96" s="23"/>
      <c r="E96" s="23"/>
      <c r="F96" s="31"/>
    </row>
    <row r="97" spans="1:6" x14ac:dyDescent="0.25">
      <c r="A97" s="30"/>
      <c r="B97" s="23"/>
      <c r="C97" s="23"/>
      <c r="D97" s="23"/>
      <c r="E97" s="23"/>
      <c r="F97" s="31"/>
    </row>
    <row r="98" spans="1:6" x14ac:dyDescent="0.25">
      <c r="A98" s="30"/>
      <c r="B98" s="23"/>
      <c r="C98" s="23"/>
      <c r="D98" s="23"/>
      <c r="E98" s="23"/>
      <c r="F98" s="31"/>
    </row>
    <row r="99" spans="1:6" x14ac:dyDescent="0.25">
      <c r="A99" s="30"/>
      <c r="B99" s="23"/>
      <c r="C99" s="23"/>
      <c r="D99" s="23"/>
      <c r="E99" s="23"/>
      <c r="F99" s="31"/>
    </row>
    <row r="100" spans="1:6" x14ac:dyDescent="0.25">
      <c r="A100" s="30"/>
      <c r="B100" s="23"/>
      <c r="C100" s="23"/>
      <c r="D100" s="23"/>
      <c r="E100" s="23"/>
      <c r="F100" s="31"/>
    </row>
    <row r="101" spans="1:6" x14ac:dyDescent="0.25">
      <c r="A101" s="30"/>
      <c r="B101" s="23"/>
      <c r="C101" s="23"/>
      <c r="D101" s="23"/>
      <c r="E101" s="23"/>
      <c r="F101" s="31"/>
    </row>
    <row r="102" spans="1:6" x14ac:dyDescent="0.25">
      <c r="A102" s="30"/>
      <c r="B102" s="23"/>
      <c r="C102" s="23"/>
      <c r="D102" s="23"/>
      <c r="E102" s="23"/>
      <c r="F102" s="31"/>
    </row>
    <row r="103" spans="1:6" x14ac:dyDescent="0.25">
      <c r="A103" s="30"/>
      <c r="B103" s="23"/>
      <c r="C103" s="23"/>
      <c r="D103" s="23"/>
      <c r="E103" s="23"/>
      <c r="F103" s="31"/>
    </row>
    <row r="104" spans="1:6" x14ac:dyDescent="0.25">
      <c r="A104" s="30"/>
      <c r="B104" s="23"/>
      <c r="C104" s="23"/>
      <c r="D104" s="23"/>
      <c r="E104" s="23"/>
      <c r="F104" s="31"/>
    </row>
    <row r="105" spans="1:6" x14ac:dyDescent="0.25">
      <c r="A105" s="30"/>
      <c r="B105" s="23"/>
      <c r="C105" s="23"/>
      <c r="D105" s="23"/>
      <c r="E105" s="23"/>
      <c r="F105" s="3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Weekly Plan</vt:lpstr>
      <vt:lpstr>Weekly Review</vt:lpstr>
      <vt:lpstr>Certifications</vt:lpstr>
      <vt:lpstr>Lab 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Sarmad Farooq</cp:lastModifiedBy>
  <cp:revision>1</cp:revision>
  <dcterms:created xsi:type="dcterms:W3CDTF">2026-10-07T09:50:57Z</dcterms:created>
  <dcterms:modified xsi:type="dcterms:W3CDTF">2026-10-09T13:28:02Z</dcterms:modified>
  <dc:language>en-US</dc:language>
</cp:coreProperties>
</file>