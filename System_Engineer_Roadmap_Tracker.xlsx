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Weekly Plan" sheetId="2" state="visible" r:id="rId4"/>
    <sheet name="Weekly Review" sheetId="3" state="visible" r:id="rId5"/>
    <sheet name="Certifications" sheetId="4" state="visible" r:id="rId6"/>
    <sheet name="Lab Log" sheetId="5" state="visible" r:id="rId7"/>
  </sheets>
  <definedNames>
    <definedName function="false" hidden="true" localSheetId="1" name="_xlnm._FilterDatabase" vbProcedure="false">'Weekly Plan'!$A$4:$I$57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<sst xmlns="http://schemas.openxmlformats.org/spreadsheetml/2006/main" count="316" uniqueCount="151">
  <si>
    <t xml:space="preserve">System Engineer Roadmap: Progress Dashboard</t>
  </si>
  <si>
    <t xml:space="preserve">Premier System | Red Hat + VMware | 4-month plan from trainee to client-ready engineer</t>
  </si>
  <si>
    <t xml:space="preserve">Start Date</t>
  </si>
  <si>
    <t xml:space="preserve">Assumption: set to the date this plan was made. Change to your actual start date.</t>
  </si>
  <si>
    <t xml:space="preserve">Planned End</t>
  </si>
  <si>
    <t xml:space="preserve">Current Week</t>
  </si>
  <si>
    <t xml:space="preserve">Time Elapsed</t>
  </si>
  <si>
    <t xml:space="preserve">Tasks Completed</t>
  </si>
  <si>
    <t xml:space="preserve">Total Tasks</t>
  </si>
  <si>
    <t xml:space="preserve">Overall Completion</t>
  </si>
  <si>
    <t xml:space="preserve">Schedule Status</t>
  </si>
  <si>
    <t xml:space="preserve">Hours Studied (Weekly Review)</t>
  </si>
  <si>
    <t xml:space="preserve">Lab Log Hours</t>
  </si>
  <si>
    <t xml:space="preserve">Certifications Passed</t>
  </si>
  <si>
    <t xml:space="preserve">Progress by Month</t>
  </si>
  <si>
    <t xml:space="preserve">Month</t>
  </si>
  <si>
    <t xml:space="preserve">Theme</t>
  </si>
  <si>
    <t xml:space="preserve">Tasks</t>
  </si>
  <si>
    <t xml:space="preserve">Done</t>
  </si>
  <si>
    <t xml:space="preserve">Completion %</t>
  </si>
  <si>
    <t xml:space="preserve">Foundations</t>
  </si>
  <si>
    <t xml:space="preserve">VMware Track</t>
  </si>
  <si>
    <t xml:space="preserve">Red Hat Track</t>
  </si>
  <si>
    <t xml:space="preserve">Solutions &amp; Certification</t>
  </si>
  <si>
    <t xml:space="preserve">Progress by Task Type</t>
  </si>
  <si>
    <t xml:space="preserve">Type</t>
  </si>
  <si>
    <t xml:space="preserve">Theory</t>
  </si>
  <si>
    <t xml:space="preserve">Lab</t>
  </si>
  <si>
    <t xml:space="preserve">Milestone</t>
  </si>
  <si>
    <t xml:space="preserve">How to use</t>
  </si>
  <si>
    <t xml:space="preserve">1. Weekly Plan: change Status (dropdown) as you work. Blue cells are yours to edit.</t>
  </si>
  <si>
    <t xml:space="preserve">2. Weekly Review: log hours and a 1-5 self-score every Friday.</t>
  </si>
  <si>
    <t xml:space="preserve">3. Lab Log: record each problem and fix; row 5 is an example to overwrite.</t>
  </si>
  <si>
    <t xml:space="preserve">4. Certifications: update status and score as you book and pass exams.</t>
  </si>
  <si>
    <t xml:space="preserve">5. Yellow cell above (Start Date) drives Current Week and On track / Behind.</t>
  </si>
  <si>
    <t xml:space="preserve">Weekly Plan &amp; Checklist</t>
  </si>
  <si>
    <t xml:space="preserve">Set Status to Done as you finish each task. Everything on the Dashboard updates automatically.</t>
  </si>
  <si>
    <t xml:space="preserve">ID</t>
  </si>
  <si>
    <t xml:space="preserve">Week</t>
  </si>
  <si>
    <t xml:space="preserve">Track</t>
  </si>
  <si>
    <t xml:space="preserve">Task</t>
  </si>
  <si>
    <t xml:space="preserve">Status</t>
  </si>
  <si>
    <t xml:space="preserve">Date Done</t>
  </si>
  <si>
    <t xml:space="preserve">Notes</t>
  </si>
  <si>
    <t xml:space="preserve">Linux Foundations</t>
  </si>
  <si>
    <t xml:space="preserve">Command line, users, groups, permissions, ownership</t>
  </si>
  <si>
    <t xml:space="preserve">Not Started</t>
  </si>
  <si>
    <t xml:space="preserve">systemd services and package management (dnf/rpm)</t>
  </si>
  <si>
    <t xml:space="preserve">Build a RHEL VM with static IP and SSH hardening</t>
  </si>
  <si>
    <t xml:space="preserve">LVM, file systems, mounting, RAID basics</t>
  </si>
  <si>
    <t xml:space="preserve">Create, extend and shrink LVM volumes in a lab VM</t>
  </si>
  <si>
    <t xml:space="preserve">Networking: IP, DNS, firewalld, NIC bonding</t>
  </si>
  <si>
    <t xml:space="preserve">Networking</t>
  </si>
  <si>
    <t xml:space="preserve">Datacenter networking: VLANs, trunks, LACP, MTU</t>
  </si>
  <si>
    <t xml:space="preserve">Configure VLAN and bond on RHEL</t>
  </si>
  <si>
    <t xml:space="preserve">Bash scripting basics: variables, loops, conditions</t>
  </si>
  <si>
    <t xml:space="preserve">Write a script that audits users, disk and services</t>
  </si>
  <si>
    <t xml:space="preserve">Hardware &amp; Storage</t>
  </si>
  <si>
    <t xml:space="preserve">Virtualization concepts: hypervisor, cluster, HA, live migration</t>
  </si>
  <si>
    <t xml:space="preserve">Storage: SAN vs NAS, iSCSI, Fibre Channel, RAID levels, IOPS</t>
  </si>
  <si>
    <t xml:space="preserve">HPE iLO and Dell iDRAC; firmware and RAID controllers</t>
  </si>
  <si>
    <t xml:space="preserve">Processors (Intel Xeon gens, AMD EPYC) and GPU servers (NVIDIA H200)</t>
  </si>
  <si>
    <t xml:space="preserve">MILESTONE: Month 1 review with mentor</t>
  </si>
  <si>
    <t xml:space="preserve">VMware vSphere</t>
  </si>
  <si>
    <t xml:space="preserve">ESXi and vCenter installation (nested lab)</t>
  </si>
  <si>
    <t xml:space="preserve">Datastores, VM templates and cloning</t>
  </si>
  <si>
    <t xml:space="preserve">Virtual networking: vSwitch, port groups, VLANs</t>
  </si>
  <si>
    <t xml:space="preserve">Clusters: HA, DRS, resource pools</t>
  </si>
  <si>
    <t xml:space="preserve">vMotion: migrate a VM live between hosts</t>
  </si>
  <si>
    <t xml:space="preserve">Snapshots, backups and restore basics</t>
  </si>
  <si>
    <t xml:space="preserve">VMware vSAN</t>
  </si>
  <si>
    <t xml:space="preserve">vSAN architecture and storage policies</t>
  </si>
  <si>
    <t xml:space="preserve">Build a vSAN cluster in the lab</t>
  </si>
  <si>
    <t xml:space="preserve">Fail a host or disk and observe vSAN behaviour</t>
  </si>
  <si>
    <t xml:space="preserve">VMware NSX &amp; VCF</t>
  </si>
  <si>
    <t xml:space="preserve">NSX segments, gateways and distributed firewall</t>
  </si>
  <si>
    <t xml:space="preserve">VMware Cloud Foundation (VCF) architecture overview</t>
  </si>
  <si>
    <t xml:space="preserve">Lifecycle Manager patching and monitoring</t>
  </si>
  <si>
    <t xml:space="preserve">MILESTONE: Document full vSphere + vSAN lab build</t>
  </si>
  <si>
    <t xml:space="preserve">Red Hat RHEL</t>
  </si>
  <si>
    <t xml:space="preserve">RHCSA objectives: users, storage, SELinux, boot process</t>
  </si>
  <si>
    <t xml:space="preserve">Practice RHCSA-style tasks under time limit</t>
  </si>
  <si>
    <t xml:space="preserve">Networking, firewalld and SELinux troubleshooting</t>
  </si>
  <si>
    <t xml:space="preserve">Red Hat Ansible</t>
  </si>
  <si>
    <t xml:space="preserve">Ansible basics: inventory, ad-hoc commands, playbooks</t>
  </si>
  <si>
    <t xml:space="preserve">Roles, variables and templates</t>
  </si>
  <si>
    <t xml:space="preserve">Automate a full server build with a playbook</t>
  </si>
  <si>
    <t xml:space="preserve">Containers</t>
  </si>
  <si>
    <t xml:space="preserve">Podman: images, containers, volumes, registries</t>
  </si>
  <si>
    <t xml:space="preserve">Kubernetes concepts: pods, deployments, services</t>
  </si>
  <si>
    <t xml:space="preserve">Run a multi-container application</t>
  </si>
  <si>
    <t xml:space="preserve">Red Hat OpenShift</t>
  </si>
  <si>
    <t xml:space="preserve">OpenShift architecture, projects, routes, storage, operators</t>
  </si>
  <si>
    <t xml:space="preserve">Deploy a small cluster or OpenShift Local and an app</t>
  </si>
  <si>
    <t xml:space="preserve">Morpheus</t>
  </si>
  <si>
    <t xml:space="preserve">Morpheus cloud management platform: overview and demo</t>
  </si>
  <si>
    <t xml:space="preserve">MILESTONE: App on OpenShift automated with Ansible</t>
  </si>
  <si>
    <t xml:space="preserve">Solution Design</t>
  </si>
  <si>
    <t xml:space="preserve">Customer decision path: containers + virtualization (Red Hat) vs virtualization only (VMware)</t>
  </si>
  <si>
    <t xml:space="preserve">Discovery questions: workloads, growth, budget, skills</t>
  </si>
  <si>
    <t xml:space="preserve">Sizing: CPU, RAM, storage (e.g. 50 TB to 75 TB SAN), licensing editions</t>
  </si>
  <si>
    <t xml:space="preserve">External SAN, backup and DR design</t>
  </si>
  <si>
    <t xml:space="preserve">HPE and Dell server and storage portfolio: what to quote when</t>
  </si>
  <si>
    <t xml:space="preserve">GPU and AI workload basics</t>
  </si>
  <si>
    <t xml:space="preserve">Capstone</t>
  </si>
  <si>
    <t xml:space="preserve">Write BOM and architecture diagram for fictional customer</t>
  </si>
  <si>
    <t xml:space="preserve">Write HLD (high-level design) document</t>
  </si>
  <si>
    <t xml:space="preserve">Build 10-slide solution presentation</t>
  </si>
  <si>
    <t xml:space="preserve">Certification</t>
  </si>
  <si>
    <t xml:space="preserve">Sit certification exam (RHCSA or VCP)</t>
  </si>
  <si>
    <t xml:space="preserve">Present capstone to manager / senior engineer</t>
  </si>
  <si>
    <t xml:space="preserve">MILESTONE: Final 4-month review and next 90-day plan</t>
  </si>
  <si>
    <t xml:space="preserve">Weekly Review</t>
  </si>
  <si>
    <t xml:space="preserve">Task counts come from Weekly Plan. Fill in the blue cells at the end of each week (30 min with your mentor).</t>
  </si>
  <si>
    <t xml:space="preserve">Hours Studied</t>
  </si>
  <si>
    <t xml:space="preserve">Self-Score (1-5)</t>
  </si>
  <si>
    <t xml:space="preserve">Wins / Blockers / Next Week Goal</t>
  </si>
  <si>
    <t xml:space="preserve">Total</t>
  </si>
  <si>
    <t xml:space="preserve">Certification Tracker</t>
  </si>
  <si>
    <t xml:space="preserve">Check vendor sites for current exam codes and prices; Broadcom/VMware has changed its program recently.</t>
  </si>
  <si>
    <t xml:space="preserve">Vendor</t>
  </si>
  <si>
    <t xml:space="preserve">Priority</t>
  </si>
  <si>
    <t xml:space="preserve">Target Date</t>
  </si>
  <si>
    <t xml:space="preserve">Score / Result</t>
  </si>
  <si>
    <t xml:space="preserve">RHCSA (EX200)</t>
  </si>
  <si>
    <t xml:space="preserve">Red Hat</t>
  </si>
  <si>
    <t xml:space="preserve">Primary</t>
  </si>
  <si>
    <t xml:space="preserve">Week 16</t>
  </si>
  <si>
    <t xml:space="preserve">Practice with timed labs in Week 9.</t>
  </si>
  <si>
    <t xml:space="preserve">VCP (VMware Certified Professional, current VCF/vSphere track)</t>
  </si>
  <si>
    <t xml:space="preserve">VMware / Broadcom</t>
  </si>
  <si>
    <t xml:space="preserve">Verify exam code and prerequisites on Broadcom's site.</t>
  </si>
  <si>
    <t xml:space="preserve">RHCE / OpenShift Administration</t>
  </si>
  <si>
    <t xml:space="preserve">Stretch</t>
  </si>
  <si>
    <t xml:space="preserve">After Month 4</t>
  </si>
  <si>
    <t xml:space="preserve">Plan for the next 90 days.</t>
  </si>
  <si>
    <t xml:space="preserve">HPE / Dell partner training</t>
  </si>
  <si>
    <t xml:space="preserve">HPE / Dell</t>
  </si>
  <si>
    <t xml:space="preserve">Supporting</t>
  </si>
  <si>
    <t xml:space="preserve">Ongoing</t>
  </si>
  <si>
    <t xml:space="preserve">Ask Premier System about partner-portal access.</t>
  </si>
  <si>
    <t xml:space="preserve">Lab Log &amp; Runbook</t>
  </si>
  <si>
    <t xml:space="preserve">Write down every issue you solve. This becomes your personal knowledge base. The first row is an example; overwrite it.</t>
  </si>
  <si>
    <t xml:space="preserve">Date</t>
  </si>
  <si>
    <t xml:space="preserve">Topic</t>
  </si>
  <si>
    <t xml:space="preserve">Problem / What I Did</t>
  </si>
  <si>
    <t xml:space="preserve">Fix / Learning</t>
  </si>
  <si>
    <t xml:space="preserve">Hours</t>
  </si>
  <si>
    <t xml:space="preserve">RHEL networking</t>
  </si>
  <si>
    <t xml:space="preserve">VM had no network after cloning</t>
  </si>
  <si>
    <t xml:space="preserve">Regenerated machine-id and fixed NIC name in nmcli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</si>
</sst>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yy"/>
    <numFmt numFmtId="166" formatCode="&quot;Week &quot;0"/>
    <numFmt numFmtId="167" formatCode="0%"/>
    <numFmt numFmtId="168" formatCode="General"/>
    <numFmt numFmtId="169" formatCode="0.0"/>
    <numFmt numFmtId="170" formatCode="&quot;Month &quot;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9F9F9"/>
      </patternFill>
    </fill>
    <fill>
      <patternFill patternType="solid">
        <fgColor rgb="FFFFFF99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1F3864"/>
      </font>
      <fill>
        <patternFill>
          <bgColor rgb="FFDDEBF7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9F9F9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Completion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Dashboard!E18</c:f>
              <c:strCache>
                <c:ptCount val="1"/>
                <c:pt idx="0">
                  <c:v>Completion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Dashboard!$A$19:$A$22</c:f>
              <c:strCache>
                <c:ptCount val="4"/>
                <c:pt idx="0">
                  <c:v>Month 1</c:v>
                </c:pt>
                <c:pt idx="1">
                  <c:v>Month 2</c:v>
                </c:pt>
                <c:pt idx="2">
                  <c:v>Month 3</c:v>
                </c:pt>
                <c:pt idx="3">
                  <c:v>Month 4</c:v>
                </c:pt>
              </c:strCache>
            </c:strRef>
          </c:cat>
          <c:val>
            <c:numRef>
              <c:f>Dashboard!$E$19:$E$22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102153"/>
        <c:axId val="83198563"/>
      </c:barChart>
      <c:catAx>
        <c:axId val="6102153"/>
        <c:scaling>
          <c:orientation val="minMax"/>
        </c:scaling>
        <c:delete val="0"/>
        <c:axPos val="b"/>
        <c:numFmt formatCode="&quot;Month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98563"/>
        <c:crosses val="autoZero"/>
        <c:auto val="1"/>
        <c:lblAlgn val="ctr"/>
        <c:lblOffset val="100"/>
        <c:noMultiLvlLbl val="0"/>
      </c:catAx>
      <c:valAx>
        <c:axId val="8319856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21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Completion by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'Weekly Review'!E4</c:f>
              <c:strCache>
                <c:ptCount val="1"/>
                <c:pt idx="0">
                  <c:v>Completion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Review'!$A$5:$A$20</c:f>
              <c:strCache>
                <c:ptCount val="16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</c:strCache>
            </c:strRef>
          </c:cat>
          <c:val>
            <c:numRef>
              <c:f>'Weekly Review'!$E$5:$E$20</c:f>
              <c:numCache>
                <c:formatCode>0%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87548258"/>
        <c:axId val="47136292"/>
      </c:barChart>
      <c:catAx>
        <c:axId val="87548258"/>
        <c:scaling>
          <c:orientation val="minMax"/>
        </c:scaling>
        <c:delete val="0"/>
        <c:axPos val="b"/>
        <c:numFmt formatCode="&quot;Week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36292"/>
        <c:crosses val="autoZero"/>
        <c:auto val="1"/>
        <c:lblAlgn val="ctr"/>
        <c:lblOffset val="100"/>
        <c:noMultiLvlLbl val="0"/>
      </c:catAx>
      <c:valAx>
        <c:axId val="471362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482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Hours Studied per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'Weekly Review'!F4</c:f>
              <c:strCache>
                <c:ptCount val="1"/>
                <c:pt idx="0">
                  <c:v>Hours Studied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Review'!$A$5:$A$20</c:f>
              <c:strCache>
                <c:ptCount val="16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</c:strCache>
            </c:strRef>
          </c:cat>
          <c:val>
            <c:numRef>
              <c:f>'Weekly Review'!$F$5:$F$20</c:f>
              <c:numCache>
                <c:formatCode>General</c:formatCode>
                <c:ptCount val="16"/>
              </c:numCache>
            </c:numRef>
          </c:val>
        </c:ser>
        <c:gapWidth val="150"/>
        <c:overlap val="0"/>
        <c:axId val="47140834"/>
        <c:axId val="37493363"/>
      </c:barChart>
      <c:catAx>
        <c:axId val="47140834"/>
        <c:scaling>
          <c:orientation val="minMax"/>
        </c:scaling>
        <c:delete val="0"/>
        <c:axPos val="b"/>
        <c:numFmt formatCode="&quot;Week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93363"/>
        <c:crosses val="autoZero"/>
        <c:auto val="1"/>
        <c:lblAlgn val="ctr"/>
        <c:lblOffset val="100"/>
        <c:noMultiLvlLbl val="0"/>
      </c:catAx>
      <c:valAx>
        <c:axId val="37493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408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131040</xdr:rowOff>
    </xdr:from>
    <xdr:to>
      <xdr:col>14</xdr:col>
      <xdr:colOff>147600</xdr:colOff>
      <xdr:row>16</xdr:row>
      <xdr:rowOff>163800</xdr:rowOff>
    </xdr:to>
    <xdr:graphicFrame>
      <xdr:nvGraphicFramePr>
        <xdr:cNvPr id="0" name="Chart 1"/>
        <xdr:cNvGraphicFramePr/>
      </xdr:nvGraphicFramePr>
      <xdr:xfrm>
        <a:off x="7095960" y="57168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130680</xdr:rowOff>
    </xdr:from>
    <xdr:to>
      <xdr:col>18</xdr:col>
      <xdr:colOff>581400</xdr:colOff>
      <xdr:row>32</xdr:row>
      <xdr:rowOff>163440</xdr:rowOff>
    </xdr:to>
    <xdr:graphicFrame>
      <xdr:nvGraphicFramePr>
        <xdr:cNvPr id="1" name="Chart 2"/>
        <xdr:cNvGraphicFramePr/>
      </xdr:nvGraphicFramePr>
      <xdr:xfrm>
        <a:off x="7095960" y="361944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34</xdr:row>
      <xdr:rowOff>131040</xdr:rowOff>
    </xdr:from>
    <xdr:to>
      <xdr:col>18</xdr:col>
      <xdr:colOff>581400</xdr:colOff>
      <xdr:row>48</xdr:row>
      <xdr:rowOff>163440</xdr:rowOff>
    </xdr:to>
    <xdr:graphicFrame>
      <xdr:nvGraphicFramePr>
        <xdr:cNvPr id="2" name="Chart 3"/>
        <xdr:cNvGraphicFramePr/>
      </xdr:nvGraphicFramePr>
      <xdr:xfrm>
        <a:off x="7095960" y="666756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46302</v>
      </c>
      <c r="C4" s="5" t="s">
        <v>3</v>
      </c>
    </row>
    <row r="5" customFormat="false" ht="15" hidden="false" customHeight="false" outlineLevel="0" collapsed="false">
      <c r="A5" s="3" t="s">
        <v>4</v>
      </c>
      <c r="B5" s="6" t="n">
        <f aca="false">B4+112</f>
        <v>46414</v>
      </c>
    </row>
    <row r="6" customFormat="false" ht="15" hidden="false" customHeight="false" outlineLevel="0" collapsed="false">
      <c r="A6" s="3" t="s">
        <v>5</v>
      </c>
      <c r="B6" s="7" t="n">
        <f aca="true">MAX(1,MIN(16,INT((TODAY()-B4)/7)+1))</f>
        <v>1</v>
      </c>
    </row>
    <row r="7" customFormat="false" ht="15" hidden="false" customHeight="false" outlineLevel="0" collapsed="false">
      <c r="A7" s="3" t="s">
        <v>6</v>
      </c>
      <c r="B7" s="8" t="n">
        <f aca="true">MIN(1,MAX(0,(TODAY()-B4)/112))</f>
        <v>0</v>
      </c>
    </row>
    <row r="8" customFormat="false" ht="15" hidden="false" customHeight="false" outlineLevel="0" collapsed="false">
      <c r="A8" s="3" t="s">
        <v>7</v>
      </c>
      <c r="B8" s="9" t="n">
        <f aca="false">COUNTIF('Weekly Plan'!G5:G57,"Done")</f>
        <v>0</v>
      </c>
    </row>
    <row r="9" customFormat="false" ht="15" hidden="false" customHeight="false" outlineLevel="0" collapsed="false">
      <c r="A9" s="3" t="s">
        <v>8</v>
      </c>
      <c r="B9" s="9" t="n">
        <f aca="false">COUNTA('Weekly Plan'!E5:E57)</f>
        <v>53</v>
      </c>
    </row>
    <row r="10" customFormat="false" ht="15" hidden="false" customHeight="false" outlineLevel="0" collapsed="false">
      <c r="A10" s="3" t="s">
        <v>9</v>
      </c>
      <c r="B10" s="10" t="n">
        <f aca="false">IF(B9=0,0,B8/B9)</f>
        <v>0</v>
      </c>
    </row>
    <row r="11" customFormat="false" ht="15" hidden="false" customHeight="false" outlineLevel="0" collapsed="false">
      <c r="A11" s="3" t="s">
        <v>10</v>
      </c>
      <c r="B11" s="11" t="str">
        <f aca="false">IF(B10&gt;=B7,"On track","Behind schedule")</f>
        <v>On track</v>
      </c>
    </row>
    <row r="12" customFormat="false" ht="15" hidden="false" customHeight="false" outlineLevel="0" collapsed="false">
      <c r="A12" s="3" t="s">
        <v>11</v>
      </c>
      <c r="B12" s="12" t="n">
        <f aca="false">'Weekly Review'!F21</f>
        <v>0</v>
      </c>
    </row>
    <row r="13" customFormat="false" ht="15" hidden="false" customHeight="false" outlineLevel="0" collapsed="false">
      <c r="A13" s="3" t="s">
        <v>12</v>
      </c>
      <c r="B13" s="12" t="n">
        <f aca="false">SUM('Lab Log'!F5:F105)</f>
        <v>1.5</v>
      </c>
    </row>
    <row r="14" customFormat="false" ht="15" hidden="false" customHeight="false" outlineLevel="0" collapsed="false">
      <c r="A14" s="3" t="s">
        <v>13</v>
      </c>
      <c r="B14" s="9" t="n">
        <f aca="false">COUNTIF(Certifications!E5:E8,"Passed")</f>
        <v>0</v>
      </c>
    </row>
    <row r="17" customFormat="false" ht="15" hidden="false" customHeight="false" outlineLevel="0" collapsed="false">
      <c r="A17" s="13" t="s">
        <v>14</v>
      </c>
    </row>
    <row r="18" customFormat="false" ht="15" hidden="false" customHeight="false" outlineLevel="0" collapsed="false">
      <c r="A18" s="14" t="s">
        <v>15</v>
      </c>
      <c r="B18" s="14" t="s">
        <v>16</v>
      </c>
      <c r="C18" s="14" t="s">
        <v>17</v>
      </c>
      <c r="D18" s="14" t="s">
        <v>18</v>
      </c>
      <c r="E18" s="14" t="s">
        <v>19</v>
      </c>
    </row>
    <row r="19" customFormat="false" ht="15" hidden="false" customHeight="false" outlineLevel="0" collapsed="false">
      <c r="A19" s="15" t="n">
        <v>1</v>
      </c>
      <c r="B19" s="9" t="s">
        <v>20</v>
      </c>
      <c r="C19" s="9" t="n">
        <f aca="false">COUNTIF('Weekly Plan'!$B$5:$B$57,A19)</f>
        <v>15</v>
      </c>
      <c r="D19" s="9" t="n">
        <f aca="false">COUNTIFS('Weekly Plan'!$B$5:$B$57,A19,'Weekly Plan'!$G$5:$G$57,"Done")</f>
        <v>0</v>
      </c>
      <c r="E19" s="8" t="n">
        <f aca="false">IF(C19=0,0,D19/C19)</f>
        <v>0</v>
      </c>
    </row>
    <row r="20" customFormat="false" ht="15" hidden="false" customHeight="false" outlineLevel="0" collapsed="false">
      <c r="A20" s="15" t="n">
        <v>2</v>
      </c>
      <c r="B20" s="9" t="s">
        <v>21</v>
      </c>
      <c r="C20" s="9" t="n">
        <f aca="false">COUNTIF('Weekly Plan'!$B$5:$B$57,A20)</f>
        <v>13</v>
      </c>
      <c r="D20" s="9" t="n">
        <f aca="false">COUNTIFS('Weekly Plan'!$B$5:$B$57,A20,'Weekly Plan'!$G$5:$G$57,"Done")</f>
        <v>0</v>
      </c>
      <c r="E20" s="8" t="n">
        <f aca="false">IF(C20=0,0,D20/C20)</f>
        <v>0</v>
      </c>
    </row>
    <row r="21" customFormat="false" ht="15" hidden="false" customHeight="false" outlineLevel="0" collapsed="false">
      <c r="A21" s="15" t="n">
        <v>3</v>
      </c>
      <c r="B21" s="9" t="s">
        <v>22</v>
      </c>
      <c r="C21" s="9" t="n">
        <f aca="false">COUNTIF('Weekly Plan'!$B$5:$B$57,A21)</f>
        <v>13</v>
      </c>
      <c r="D21" s="9" t="n">
        <f aca="false">COUNTIFS('Weekly Plan'!$B$5:$B$57,A21,'Weekly Plan'!$G$5:$G$57,"Done")</f>
        <v>0</v>
      </c>
      <c r="E21" s="8" t="n">
        <f aca="false">IF(C21=0,0,D21/C21)</f>
        <v>0</v>
      </c>
    </row>
    <row r="22" customFormat="false" ht="15" hidden="false" customHeight="false" outlineLevel="0" collapsed="false">
      <c r="A22" s="15" t="n">
        <v>4</v>
      </c>
      <c r="B22" s="9" t="s">
        <v>23</v>
      </c>
      <c r="C22" s="9" t="n">
        <f aca="false">COUNTIF('Weekly Plan'!$B$5:$B$57,A22)</f>
        <v>12</v>
      </c>
      <c r="D22" s="9" t="n">
        <f aca="false">COUNTIFS('Weekly Plan'!$B$5:$B$57,A22,'Weekly Plan'!$G$5:$G$57,"Done")</f>
        <v>0</v>
      </c>
      <c r="E22" s="8" t="n">
        <f aca="false">IF(C22=0,0,D22/C22)</f>
        <v>0</v>
      </c>
    </row>
    <row r="25" customFormat="false" ht="15" hidden="false" customHeight="false" outlineLevel="0" collapsed="false">
      <c r="A25" s="13" t="s">
        <v>24</v>
      </c>
    </row>
    <row r="26" customFormat="false" ht="15" hidden="false" customHeight="false" outlineLevel="0" collapsed="false">
      <c r="A26" s="14" t="s">
        <v>25</v>
      </c>
      <c r="B26" s="14"/>
      <c r="C26" s="14" t="s">
        <v>17</v>
      </c>
      <c r="D26" s="14" t="s">
        <v>18</v>
      </c>
      <c r="E26" s="14" t="s">
        <v>19</v>
      </c>
    </row>
    <row r="27" customFormat="false" ht="15" hidden="false" customHeight="false" outlineLevel="0" collapsed="false">
      <c r="A27" s="9" t="s">
        <v>26</v>
      </c>
      <c r="B27" s="9"/>
      <c r="C27" s="9" t="n">
        <f aca="false">COUNTIF('Weekly Plan'!$F$5:$F$57,A27)</f>
        <v>26</v>
      </c>
      <c r="D27" s="9" t="n">
        <f aca="false">COUNTIFS('Weekly Plan'!$F$5:$F$57,A27,'Weekly Plan'!$G$5:$G$57,"Done")</f>
        <v>0</v>
      </c>
      <c r="E27" s="8" t="n">
        <f aca="false">IF(C27=0,0,D27/C27)</f>
        <v>0</v>
      </c>
    </row>
    <row r="28" customFormat="false" ht="15" hidden="false" customHeight="false" outlineLevel="0" collapsed="false">
      <c r="A28" s="9" t="s">
        <v>27</v>
      </c>
      <c r="B28" s="9"/>
      <c r="C28" s="9" t="n">
        <f aca="false">COUNTIF('Weekly Plan'!$F$5:$F$57,A28)</f>
        <v>21</v>
      </c>
      <c r="D28" s="9" t="n">
        <f aca="false">COUNTIFS('Weekly Plan'!$F$5:$F$57,A28,'Weekly Plan'!$G$5:$G$57,"Done")</f>
        <v>0</v>
      </c>
      <c r="E28" s="8" t="n">
        <f aca="false">IF(C28=0,0,D28/C28)</f>
        <v>0</v>
      </c>
    </row>
    <row r="29" customFormat="false" ht="15" hidden="false" customHeight="false" outlineLevel="0" collapsed="false">
      <c r="A29" s="9" t="s">
        <v>28</v>
      </c>
      <c r="B29" s="9"/>
      <c r="C29" s="9" t="n">
        <f aca="false">COUNTIF('Weekly Plan'!$F$5:$F$57,A29)</f>
        <v>6</v>
      </c>
      <c r="D29" s="9" t="n">
        <f aca="false">COUNTIFS('Weekly Plan'!$F$5:$F$57,A29,'Weekly Plan'!$G$5:$G$57,"Done")</f>
        <v>0</v>
      </c>
      <c r="E29" s="8" t="n">
        <f aca="false">IF(C29=0,0,D29/C29)</f>
        <v>0</v>
      </c>
    </row>
    <row r="32" customFormat="false" ht="15" hidden="false" customHeight="false" outlineLevel="0" collapsed="false">
      <c r="A32" s="13" t="s">
        <v>29</v>
      </c>
    </row>
    <row r="33" customFormat="false" ht="15" hidden="false" customHeight="false" outlineLevel="0" collapsed="false">
      <c r="A33" s="16" t="s">
        <v>30</v>
      </c>
    </row>
    <row r="34" customFormat="false" ht="15" hidden="false" customHeight="false" outlineLevel="0" collapsed="false">
      <c r="A34" s="16" t="s">
        <v>31</v>
      </c>
    </row>
    <row r="35" customFormat="false" ht="15" hidden="false" customHeight="false" outlineLevel="0" collapsed="false">
      <c r="A35" s="16" t="s">
        <v>32</v>
      </c>
    </row>
    <row r="36" customFormat="false" ht="15" hidden="false" customHeight="false" outlineLevel="0" collapsed="false">
      <c r="A36" s="16" t="s">
        <v>33</v>
      </c>
    </row>
    <row r="37" customFormat="false" ht="15" hidden="false" customHeight="false" outlineLevel="0" collapsed="false">
      <c r="A37" s="16" t="s">
        <v>34</v>
      </c>
    </row>
  </sheetData>
  <conditionalFormatting sqref="B11">
    <cfRule type="cellIs" priority="2" operator="equal" aboveAverage="0" equalAverage="0" bottom="0" percent="0" rank="0" text="" dxfId="0">
      <formula>"On track"</formula>
    </cfRule>
    <cfRule type="cellIs" priority="3" operator="equal" aboveAverage="0" equalAverage="0" bottom="0" percent="0" rank="0" text="" dxfId="1">
      <formula>"Behind schedule"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0"/>
    <col collapsed="false" customWidth="true" hidden="false" outlineLevel="0" max="4" min="4" style="0" width="20"/>
    <col collapsed="false" customWidth="true" hidden="false" outlineLevel="0" max="5" min="5" style="0" width="62"/>
    <col collapsed="false" customWidth="true" hidden="false" outlineLevel="0" max="6" min="6" style="0" width="11"/>
    <col collapsed="false" customWidth="true" hidden="false" outlineLevel="0" max="8" min="7" style="0" width="14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15" hidden="false" customHeight="false" outlineLevel="0" collapsed="false">
      <c r="A4" s="14" t="s">
        <v>37</v>
      </c>
      <c r="B4" s="14" t="s">
        <v>15</v>
      </c>
      <c r="C4" s="14" t="s">
        <v>38</v>
      </c>
      <c r="D4" s="14" t="s">
        <v>39</v>
      </c>
      <c r="E4" s="14" t="s">
        <v>40</v>
      </c>
      <c r="F4" s="14" t="s">
        <v>25</v>
      </c>
      <c r="G4" s="14" t="s">
        <v>41</v>
      </c>
      <c r="H4" s="14" t="s">
        <v>42</v>
      </c>
      <c r="I4" s="14" t="s">
        <v>43</v>
      </c>
    </row>
    <row r="5" customFormat="false" ht="15" hidden="false" customHeight="false" outlineLevel="0" collapsed="false">
      <c r="A5" s="17" t="n">
        <v>1</v>
      </c>
      <c r="B5" s="18" t="n">
        <v>1</v>
      </c>
      <c r="C5" s="19" t="n">
        <v>1</v>
      </c>
      <c r="D5" s="20" t="s">
        <v>44</v>
      </c>
      <c r="E5" s="20" t="s">
        <v>45</v>
      </c>
      <c r="F5" s="17" t="s">
        <v>26</v>
      </c>
      <c r="G5" s="21" t="s">
        <v>46</v>
      </c>
      <c r="H5" s="22"/>
      <c r="I5" s="23"/>
    </row>
    <row r="6" customFormat="false" ht="15" hidden="false" customHeight="false" outlineLevel="0" collapsed="false">
      <c r="A6" s="17" t="n">
        <v>2</v>
      </c>
      <c r="B6" s="18" t="n">
        <v>1</v>
      </c>
      <c r="C6" s="19" t="n">
        <v>1</v>
      </c>
      <c r="D6" s="20" t="s">
        <v>44</v>
      </c>
      <c r="E6" s="20" t="s">
        <v>47</v>
      </c>
      <c r="F6" s="17" t="s">
        <v>26</v>
      </c>
      <c r="G6" s="21" t="s">
        <v>46</v>
      </c>
      <c r="H6" s="22"/>
      <c r="I6" s="23"/>
    </row>
    <row r="7" customFormat="false" ht="15" hidden="false" customHeight="false" outlineLevel="0" collapsed="false">
      <c r="A7" s="17" t="n">
        <v>3</v>
      </c>
      <c r="B7" s="18" t="n">
        <v>1</v>
      </c>
      <c r="C7" s="19" t="n">
        <v>1</v>
      </c>
      <c r="D7" s="20" t="s">
        <v>44</v>
      </c>
      <c r="E7" s="20" t="s">
        <v>48</v>
      </c>
      <c r="F7" s="17" t="s">
        <v>27</v>
      </c>
      <c r="G7" s="21" t="s">
        <v>46</v>
      </c>
      <c r="H7" s="22"/>
      <c r="I7" s="23"/>
    </row>
    <row r="8" customFormat="false" ht="15" hidden="false" customHeight="false" outlineLevel="0" collapsed="false">
      <c r="A8" s="17" t="n">
        <v>4</v>
      </c>
      <c r="B8" s="18" t="n">
        <v>1</v>
      </c>
      <c r="C8" s="19" t="n">
        <v>2</v>
      </c>
      <c r="D8" s="20" t="s">
        <v>44</v>
      </c>
      <c r="E8" s="20" t="s">
        <v>49</v>
      </c>
      <c r="F8" s="17" t="s">
        <v>26</v>
      </c>
      <c r="G8" s="21" t="s">
        <v>46</v>
      </c>
      <c r="H8" s="22"/>
      <c r="I8" s="23"/>
    </row>
    <row r="9" customFormat="false" ht="15" hidden="false" customHeight="false" outlineLevel="0" collapsed="false">
      <c r="A9" s="17" t="n">
        <v>5</v>
      </c>
      <c r="B9" s="18" t="n">
        <v>1</v>
      </c>
      <c r="C9" s="19" t="n">
        <v>2</v>
      </c>
      <c r="D9" s="20" t="s">
        <v>44</v>
      </c>
      <c r="E9" s="20" t="s">
        <v>50</v>
      </c>
      <c r="F9" s="17" t="s">
        <v>27</v>
      </c>
      <c r="G9" s="21" t="s">
        <v>46</v>
      </c>
      <c r="H9" s="22"/>
      <c r="I9" s="23"/>
    </row>
    <row r="10" customFormat="false" ht="15" hidden="false" customHeight="false" outlineLevel="0" collapsed="false">
      <c r="A10" s="17" t="n">
        <v>6</v>
      </c>
      <c r="B10" s="18" t="n">
        <v>1</v>
      </c>
      <c r="C10" s="19" t="n">
        <v>2</v>
      </c>
      <c r="D10" s="20" t="s">
        <v>44</v>
      </c>
      <c r="E10" s="20" t="s">
        <v>51</v>
      </c>
      <c r="F10" s="17" t="s">
        <v>26</v>
      </c>
      <c r="G10" s="21" t="s">
        <v>46</v>
      </c>
      <c r="H10" s="22"/>
      <c r="I10" s="23"/>
    </row>
    <row r="11" customFormat="false" ht="15" hidden="false" customHeight="false" outlineLevel="0" collapsed="false">
      <c r="A11" s="17" t="n">
        <v>7</v>
      </c>
      <c r="B11" s="18" t="n">
        <v>1</v>
      </c>
      <c r="C11" s="19" t="n">
        <v>3</v>
      </c>
      <c r="D11" s="20" t="s">
        <v>52</v>
      </c>
      <c r="E11" s="20" t="s">
        <v>53</v>
      </c>
      <c r="F11" s="17" t="s">
        <v>26</v>
      </c>
      <c r="G11" s="21" t="s">
        <v>46</v>
      </c>
      <c r="H11" s="22"/>
      <c r="I11" s="23"/>
    </row>
    <row r="12" customFormat="false" ht="15" hidden="false" customHeight="false" outlineLevel="0" collapsed="false">
      <c r="A12" s="17" t="n">
        <v>8</v>
      </c>
      <c r="B12" s="18" t="n">
        <v>1</v>
      </c>
      <c r="C12" s="19" t="n">
        <v>3</v>
      </c>
      <c r="D12" s="20" t="s">
        <v>52</v>
      </c>
      <c r="E12" s="20" t="s">
        <v>54</v>
      </c>
      <c r="F12" s="17" t="s">
        <v>27</v>
      </c>
      <c r="G12" s="21" t="s">
        <v>46</v>
      </c>
      <c r="H12" s="22"/>
      <c r="I12" s="23"/>
    </row>
    <row r="13" customFormat="false" ht="15" hidden="false" customHeight="false" outlineLevel="0" collapsed="false">
      <c r="A13" s="17" t="n">
        <v>9</v>
      </c>
      <c r="B13" s="18" t="n">
        <v>1</v>
      </c>
      <c r="C13" s="19" t="n">
        <v>3</v>
      </c>
      <c r="D13" s="20" t="s">
        <v>44</v>
      </c>
      <c r="E13" s="20" t="s">
        <v>55</v>
      </c>
      <c r="F13" s="17" t="s">
        <v>26</v>
      </c>
      <c r="G13" s="21" t="s">
        <v>46</v>
      </c>
      <c r="H13" s="22"/>
      <c r="I13" s="23"/>
    </row>
    <row r="14" customFormat="false" ht="15" hidden="false" customHeight="false" outlineLevel="0" collapsed="false">
      <c r="A14" s="17" t="n">
        <v>10</v>
      </c>
      <c r="B14" s="18" t="n">
        <v>1</v>
      </c>
      <c r="C14" s="19" t="n">
        <v>3</v>
      </c>
      <c r="D14" s="20" t="s">
        <v>44</v>
      </c>
      <c r="E14" s="20" t="s">
        <v>56</v>
      </c>
      <c r="F14" s="17" t="s">
        <v>27</v>
      </c>
      <c r="G14" s="21" t="s">
        <v>46</v>
      </c>
      <c r="H14" s="22"/>
      <c r="I14" s="23"/>
    </row>
    <row r="15" customFormat="false" ht="15" hidden="false" customHeight="false" outlineLevel="0" collapsed="false">
      <c r="A15" s="17" t="n">
        <v>11</v>
      </c>
      <c r="B15" s="18" t="n">
        <v>1</v>
      </c>
      <c r="C15" s="19" t="n">
        <v>4</v>
      </c>
      <c r="D15" s="20" t="s">
        <v>57</v>
      </c>
      <c r="E15" s="20" t="s">
        <v>58</v>
      </c>
      <c r="F15" s="17" t="s">
        <v>26</v>
      </c>
      <c r="G15" s="21" t="s">
        <v>46</v>
      </c>
      <c r="H15" s="22"/>
      <c r="I15" s="23"/>
    </row>
    <row r="16" customFormat="false" ht="15" hidden="false" customHeight="false" outlineLevel="0" collapsed="false">
      <c r="A16" s="17" t="n">
        <v>12</v>
      </c>
      <c r="B16" s="18" t="n">
        <v>1</v>
      </c>
      <c r="C16" s="19" t="n">
        <v>4</v>
      </c>
      <c r="D16" s="20" t="s">
        <v>57</v>
      </c>
      <c r="E16" s="20" t="s">
        <v>59</v>
      </c>
      <c r="F16" s="17" t="s">
        <v>26</v>
      </c>
      <c r="G16" s="21" t="s">
        <v>46</v>
      </c>
      <c r="H16" s="22"/>
      <c r="I16" s="23"/>
    </row>
    <row r="17" customFormat="false" ht="15" hidden="false" customHeight="false" outlineLevel="0" collapsed="false">
      <c r="A17" s="17" t="n">
        <v>13</v>
      </c>
      <c r="B17" s="18" t="n">
        <v>1</v>
      </c>
      <c r="C17" s="19" t="n">
        <v>4</v>
      </c>
      <c r="D17" s="20" t="s">
        <v>57</v>
      </c>
      <c r="E17" s="20" t="s">
        <v>60</v>
      </c>
      <c r="F17" s="17" t="s">
        <v>26</v>
      </c>
      <c r="G17" s="21" t="s">
        <v>46</v>
      </c>
      <c r="H17" s="22"/>
      <c r="I17" s="23"/>
    </row>
    <row r="18" customFormat="false" ht="15" hidden="false" customHeight="false" outlineLevel="0" collapsed="false">
      <c r="A18" s="17" t="n">
        <v>14</v>
      </c>
      <c r="B18" s="18" t="n">
        <v>1</v>
      </c>
      <c r="C18" s="19" t="n">
        <v>4</v>
      </c>
      <c r="D18" s="20" t="s">
        <v>57</v>
      </c>
      <c r="E18" s="20" t="s">
        <v>61</v>
      </c>
      <c r="F18" s="17" t="s">
        <v>26</v>
      </c>
      <c r="G18" s="21" t="s">
        <v>46</v>
      </c>
      <c r="H18" s="22"/>
      <c r="I18" s="23"/>
    </row>
    <row r="19" customFormat="false" ht="15" hidden="false" customHeight="false" outlineLevel="0" collapsed="false">
      <c r="A19" s="17" t="n">
        <v>15</v>
      </c>
      <c r="B19" s="18" t="n">
        <v>1</v>
      </c>
      <c r="C19" s="19" t="n">
        <v>4</v>
      </c>
      <c r="D19" s="20" t="s">
        <v>57</v>
      </c>
      <c r="E19" s="20" t="s">
        <v>62</v>
      </c>
      <c r="F19" s="17" t="s">
        <v>28</v>
      </c>
      <c r="G19" s="21" t="s">
        <v>46</v>
      </c>
      <c r="H19" s="22"/>
      <c r="I19" s="23"/>
    </row>
    <row r="20" customFormat="false" ht="15" hidden="false" customHeight="false" outlineLevel="0" collapsed="false">
      <c r="A20" s="17" t="n">
        <v>16</v>
      </c>
      <c r="B20" s="18" t="n">
        <v>2</v>
      </c>
      <c r="C20" s="19" t="n">
        <v>5</v>
      </c>
      <c r="D20" s="20" t="s">
        <v>63</v>
      </c>
      <c r="E20" s="20" t="s">
        <v>64</v>
      </c>
      <c r="F20" s="17" t="s">
        <v>27</v>
      </c>
      <c r="G20" s="21" t="s">
        <v>46</v>
      </c>
      <c r="H20" s="22"/>
      <c r="I20" s="23"/>
    </row>
    <row r="21" customFormat="false" ht="15" hidden="false" customHeight="false" outlineLevel="0" collapsed="false">
      <c r="A21" s="17" t="n">
        <v>17</v>
      </c>
      <c r="B21" s="18" t="n">
        <v>2</v>
      </c>
      <c r="C21" s="19" t="n">
        <v>5</v>
      </c>
      <c r="D21" s="20" t="s">
        <v>63</v>
      </c>
      <c r="E21" s="20" t="s">
        <v>65</v>
      </c>
      <c r="F21" s="17" t="s">
        <v>27</v>
      </c>
      <c r="G21" s="21" t="s">
        <v>46</v>
      </c>
      <c r="H21" s="22"/>
      <c r="I21" s="23"/>
    </row>
    <row r="22" customFormat="false" ht="15" hidden="false" customHeight="false" outlineLevel="0" collapsed="false">
      <c r="A22" s="17" t="n">
        <v>18</v>
      </c>
      <c r="B22" s="18" t="n">
        <v>2</v>
      </c>
      <c r="C22" s="19" t="n">
        <v>5</v>
      </c>
      <c r="D22" s="20" t="s">
        <v>63</v>
      </c>
      <c r="E22" s="20" t="s">
        <v>66</v>
      </c>
      <c r="F22" s="17" t="s">
        <v>26</v>
      </c>
      <c r="G22" s="21" t="s">
        <v>46</v>
      </c>
      <c r="H22" s="22"/>
      <c r="I22" s="23"/>
    </row>
    <row r="23" customFormat="false" ht="15" hidden="false" customHeight="false" outlineLevel="0" collapsed="false">
      <c r="A23" s="17" t="n">
        <v>19</v>
      </c>
      <c r="B23" s="18" t="n">
        <v>2</v>
      </c>
      <c r="C23" s="19" t="n">
        <v>6</v>
      </c>
      <c r="D23" s="20" t="s">
        <v>63</v>
      </c>
      <c r="E23" s="20" t="s">
        <v>67</v>
      </c>
      <c r="F23" s="17" t="s">
        <v>26</v>
      </c>
      <c r="G23" s="21" t="s">
        <v>46</v>
      </c>
      <c r="H23" s="22"/>
      <c r="I23" s="23"/>
    </row>
    <row r="24" customFormat="false" ht="15" hidden="false" customHeight="false" outlineLevel="0" collapsed="false">
      <c r="A24" s="17" t="n">
        <v>20</v>
      </c>
      <c r="B24" s="18" t="n">
        <v>2</v>
      </c>
      <c r="C24" s="19" t="n">
        <v>6</v>
      </c>
      <c r="D24" s="20" t="s">
        <v>63</v>
      </c>
      <c r="E24" s="20" t="s">
        <v>68</v>
      </c>
      <c r="F24" s="17" t="s">
        <v>27</v>
      </c>
      <c r="G24" s="21" t="s">
        <v>46</v>
      </c>
      <c r="H24" s="22"/>
      <c r="I24" s="23"/>
    </row>
    <row r="25" customFormat="false" ht="15" hidden="false" customHeight="false" outlineLevel="0" collapsed="false">
      <c r="A25" s="17" t="n">
        <v>21</v>
      </c>
      <c r="B25" s="18" t="n">
        <v>2</v>
      </c>
      <c r="C25" s="19" t="n">
        <v>6</v>
      </c>
      <c r="D25" s="20" t="s">
        <v>63</v>
      </c>
      <c r="E25" s="20" t="s">
        <v>69</v>
      </c>
      <c r="F25" s="17" t="s">
        <v>27</v>
      </c>
      <c r="G25" s="21" t="s">
        <v>46</v>
      </c>
      <c r="H25" s="22"/>
      <c r="I25" s="23"/>
    </row>
    <row r="26" customFormat="false" ht="15" hidden="false" customHeight="false" outlineLevel="0" collapsed="false">
      <c r="A26" s="17" t="n">
        <v>22</v>
      </c>
      <c r="B26" s="18" t="n">
        <v>2</v>
      </c>
      <c r="C26" s="19" t="n">
        <v>7</v>
      </c>
      <c r="D26" s="20" t="s">
        <v>70</v>
      </c>
      <c r="E26" s="20" t="s">
        <v>71</v>
      </c>
      <c r="F26" s="17" t="s">
        <v>26</v>
      </c>
      <c r="G26" s="21" t="s">
        <v>46</v>
      </c>
      <c r="H26" s="22"/>
      <c r="I26" s="23"/>
    </row>
    <row r="27" customFormat="false" ht="15" hidden="false" customHeight="false" outlineLevel="0" collapsed="false">
      <c r="A27" s="17" t="n">
        <v>23</v>
      </c>
      <c r="B27" s="18" t="n">
        <v>2</v>
      </c>
      <c r="C27" s="19" t="n">
        <v>7</v>
      </c>
      <c r="D27" s="20" t="s">
        <v>70</v>
      </c>
      <c r="E27" s="20" t="s">
        <v>72</v>
      </c>
      <c r="F27" s="17" t="s">
        <v>27</v>
      </c>
      <c r="G27" s="21" t="s">
        <v>46</v>
      </c>
      <c r="H27" s="22"/>
      <c r="I27" s="23"/>
    </row>
    <row r="28" customFormat="false" ht="15" hidden="false" customHeight="false" outlineLevel="0" collapsed="false">
      <c r="A28" s="17" t="n">
        <v>24</v>
      </c>
      <c r="B28" s="18" t="n">
        <v>2</v>
      </c>
      <c r="C28" s="19" t="n">
        <v>7</v>
      </c>
      <c r="D28" s="20" t="s">
        <v>70</v>
      </c>
      <c r="E28" s="20" t="s">
        <v>73</v>
      </c>
      <c r="F28" s="17" t="s">
        <v>27</v>
      </c>
      <c r="G28" s="21" t="s">
        <v>46</v>
      </c>
      <c r="H28" s="22"/>
      <c r="I28" s="23"/>
    </row>
    <row r="29" customFormat="false" ht="15" hidden="false" customHeight="false" outlineLevel="0" collapsed="false">
      <c r="A29" s="17" t="n">
        <v>25</v>
      </c>
      <c r="B29" s="18" t="n">
        <v>2</v>
      </c>
      <c r="C29" s="19" t="n">
        <v>8</v>
      </c>
      <c r="D29" s="20" t="s">
        <v>74</v>
      </c>
      <c r="E29" s="20" t="s">
        <v>75</v>
      </c>
      <c r="F29" s="17" t="s">
        <v>27</v>
      </c>
      <c r="G29" s="21" t="s">
        <v>46</v>
      </c>
      <c r="H29" s="22"/>
      <c r="I29" s="23"/>
    </row>
    <row r="30" customFormat="false" ht="15" hidden="false" customHeight="false" outlineLevel="0" collapsed="false">
      <c r="A30" s="17" t="n">
        <v>26</v>
      </c>
      <c r="B30" s="18" t="n">
        <v>2</v>
      </c>
      <c r="C30" s="19" t="n">
        <v>8</v>
      </c>
      <c r="D30" s="20" t="s">
        <v>74</v>
      </c>
      <c r="E30" s="20" t="s">
        <v>76</v>
      </c>
      <c r="F30" s="17" t="s">
        <v>26</v>
      </c>
      <c r="G30" s="21" t="s">
        <v>46</v>
      </c>
      <c r="H30" s="22"/>
      <c r="I30" s="23"/>
    </row>
    <row r="31" customFormat="false" ht="15" hidden="false" customHeight="false" outlineLevel="0" collapsed="false">
      <c r="A31" s="17" t="n">
        <v>27</v>
      </c>
      <c r="B31" s="18" t="n">
        <v>2</v>
      </c>
      <c r="C31" s="19" t="n">
        <v>8</v>
      </c>
      <c r="D31" s="20" t="s">
        <v>63</v>
      </c>
      <c r="E31" s="20" t="s">
        <v>77</v>
      </c>
      <c r="F31" s="17" t="s">
        <v>27</v>
      </c>
      <c r="G31" s="21" t="s">
        <v>46</v>
      </c>
      <c r="H31" s="22"/>
      <c r="I31" s="23"/>
    </row>
    <row r="32" customFormat="false" ht="15" hidden="false" customHeight="false" outlineLevel="0" collapsed="false">
      <c r="A32" s="17" t="n">
        <v>28</v>
      </c>
      <c r="B32" s="18" t="n">
        <v>2</v>
      </c>
      <c r="C32" s="19" t="n">
        <v>8</v>
      </c>
      <c r="D32" s="20" t="s">
        <v>63</v>
      </c>
      <c r="E32" s="20" t="s">
        <v>78</v>
      </c>
      <c r="F32" s="17" t="s">
        <v>28</v>
      </c>
      <c r="G32" s="21" t="s">
        <v>46</v>
      </c>
      <c r="H32" s="22"/>
      <c r="I32" s="23"/>
    </row>
    <row r="33" customFormat="false" ht="15" hidden="false" customHeight="false" outlineLevel="0" collapsed="false">
      <c r="A33" s="17" t="n">
        <v>29</v>
      </c>
      <c r="B33" s="18" t="n">
        <v>3</v>
      </c>
      <c r="C33" s="19" t="n">
        <v>9</v>
      </c>
      <c r="D33" s="20" t="s">
        <v>79</v>
      </c>
      <c r="E33" s="20" t="s">
        <v>80</v>
      </c>
      <c r="F33" s="17" t="s">
        <v>26</v>
      </c>
      <c r="G33" s="21" t="s">
        <v>46</v>
      </c>
      <c r="H33" s="22"/>
      <c r="I33" s="23"/>
    </row>
    <row r="34" customFormat="false" ht="15" hidden="false" customHeight="false" outlineLevel="0" collapsed="false">
      <c r="A34" s="17" t="n">
        <v>30</v>
      </c>
      <c r="B34" s="18" t="n">
        <v>3</v>
      </c>
      <c r="C34" s="19" t="n">
        <v>9</v>
      </c>
      <c r="D34" s="20" t="s">
        <v>79</v>
      </c>
      <c r="E34" s="20" t="s">
        <v>81</v>
      </c>
      <c r="F34" s="17" t="s">
        <v>27</v>
      </c>
      <c r="G34" s="21" t="s">
        <v>46</v>
      </c>
      <c r="H34" s="22"/>
      <c r="I34" s="23"/>
    </row>
    <row r="35" customFormat="false" ht="15" hidden="false" customHeight="false" outlineLevel="0" collapsed="false">
      <c r="A35" s="17" t="n">
        <v>31</v>
      </c>
      <c r="B35" s="18" t="n">
        <v>3</v>
      </c>
      <c r="C35" s="19" t="n">
        <v>9</v>
      </c>
      <c r="D35" s="20" t="s">
        <v>79</v>
      </c>
      <c r="E35" s="20" t="s">
        <v>82</v>
      </c>
      <c r="F35" s="17" t="s">
        <v>27</v>
      </c>
      <c r="G35" s="21" t="s">
        <v>46</v>
      </c>
      <c r="H35" s="22"/>
      <c r="I35" s="23"/>
    </row>
    <row r="36" customFormat="false" ht="15" hidden="false" customHeight="false" outlineLevel="0" collapsed="false">
      <c r="A36" s="17" t="n">
        <v>32</v>
      </c>
      <c r="B36" s="18" t="n">
        <v>3</v>
      </c>
      <c r="C36" s="19" t="n">
        <v>10</v>
      </c>
      <c r="D36" s="20" t="s">
        <v>83</v>
      </c>
      <c r="E36" s="20" t="s">
        <v>84</v>
      </c>
      <c r="F36" s="17" t="s">
        <v>26</v>
      </c>
      <c r="G36" s="21" t="s">
        <v>46</v>
      </c>
      <c r="H36" s="22"/>
      <c r="I36" s="23"/>
    </row>
    <row r="37" customFormat="false" ht="15" hidden="false" customHeight="false" outlineLevel="0" collapsed="false">
      <c r="A37" s="17" t="n">
        <v>33</v>
      </c>
      <c r="B37" s="18" t="n">
        <v>3</v>
      </c>
      <c r="C37" s="19" t="n">
        <v>10</v>
      </c>
      <c r="D37" s="20" t="s">
        <v>83</v>
      </c>
      <c r="E37" s="20" t="s">
        <v>85</v>
      </c>
      <c r="F37" s="17" t="s">
        <v>26</v>
      </c>
      <c r="G37" s="21" t="s">
        <v>46</v>
      </c>
      <c r="H37" s="22"/>
      <c r="I37" s="23"/>
    </row>
    <row r="38" customFormat="false" ht="15" hidden="false" customHeight="false" outlineLevel="0" collapsed="false">
      <c r="A38" s="17" t="n">
        <v>34</v>
      </c>
      <c r="B38" s="18" t="n">
        <v>3</v>
      </c>
      <c r="C38" s="19" t="n">
        <v>10</v>
      </c>
      <c r="D38" s="20" t="s">
        <v>83</v>
      </c>
      <c r="E38" s="20" t="s">
        <v>86</v>
      </c>
      <c r="F38" s="17" t="s">
        <v>27</v>
      </c>
      <c r="G38" s="21" t="s">
        <v>46</v>
      </c>
      <c r="H38" s="22"/>
      <c r="I38" s="23"/>
    </row>
    <row r="39" customFormat="false" ht="15" hidden="false" customHeight="false" outlineLevel="0" collapsed="false">
      <c r="A39" s="17" t="n">
        <v>35</v>
      </c>
      <c r="B39" s="18" t="n">
        <v>3</v>
      </c>
      <c r="C39" s="19" t="n">
        <v>11</v>
      </c>
      <c r="D39" s="20" t="s">
        <v>87</v>
      </c>
      <c r="E39" s="20" t="s">
        <v>88</v>
      </c>
      <c r="F39" s="17" t="s">
        <v>27</v>
      </c>
      <c r="G39" s="21" t="s">
        <v>46</v>
      </c>
      <c r="H39" s="22"/>
      <c r="I39" s="23"/>
    </row>
    <row r="40" customFormat="false" ht="15" hidden="false" customHeight="false" outlineLevel="0" collapsed="false">
      <c r="A40" s="17" t="n">
        <v>36</v>
      </c>
      <c r="B40" s="18" t="n">
        <v>3</v>
      </c>
      <c r="C40" s="19" t="n">
        <v>11</v>
      </c>
      <c r="D40" s="20" t="s">
        <v>87</v>
      </c>
      <c r="E40" s="20" t="s">
        <v>89</v>
      </c>
      <c r="F40" s="17" t="s">
        <v>26</v>
      </c>
      <c r="G40" s="21" t="s">
        <v>46</v>
      </c>
      <c r="H40" s="22"/>
      <c r="I40" s="23"/>
    </row>
    <row r="41" customFormat="false" ht="15" hidden="false" customHeight="false" outlineLevel="0" collapsed="false">
      <c r="A41" s="17" t="n">
        <v>37</v>
      </c>
      <c r="B41" s="18" t="n">
        <v>3</v>
      </c>
      <c r="C41" s="19" t="n">
        <v>11</v>
      </c>
      <c r="D41" s="20" t="s">
        <v>87</v>
      </c>
      <c r="E41" s="20" t="s">
        <v>90</v>
      </c>
      <c r="F41" s="17" t="s">
        <v>27</v>
      </c>
      <c r="G41" s="21" t="s">
        <v>46</v>
      </c>
      <c r="H41" s="22"/>
      <c r="I41" s="23"/>
    </row>
    <row r="42" customFormat="false" ht="15" hidden="false" customHeight="false" outlineLevel="0" collapsed="false">
      <c r="A42" s="17" t="n">
        <v>38</v>
      </c>
      <c r="B42" s="18" t="n">
        <v>3</v>
      </c>
      <c r="C42" s="19" t="n">
        <v>12</v>
      </c>
      <c r="D42" s="20" t="s">
        <v>91</v>
      </c>
      <c r="E42" s="20" t="s">
        <v>92</v>
      </c>
      <c r="F42" s="17" t="s">
        <v>26</v>
      </c>
      <c r="G42" s="21" t="s">
        <v>46</v>
      </c>
      <c r="H42" s="22"/>
      <c r="I42" s="23"/>
    </row>
    <row r="43" customFormat="false" ht="15" hidden="false" customHeight="false" outlineLevel="0" collapsed="false">
      <c r="A43" s="17" t="n">
        <v>39</v>
      </c>
      <c r="B43" s="18" t="n">
        <v>3</v>
      </c>
      <c r="C43" s="19" t="n">
        <v>12</v>
      </c>
      <c r="D43" s="20" t="s">
        <v>91</v>
      </c>
      <c r="E43" s="20" t="s">
        <v>93</v>
      </c>
      <c r="F43" s="17" t="s">
        <v>27</v>
      </c>
      <c r="G43" s="21" t="s">
        <v>46</v>
      </c>
      <c r="H43" s="22"/>
      <c r="I43" s="23"/>
    </row>
    <row r="44" customFormat="false" ht="15" hidden="false" customHeight="false" outlineLevel="0" collapsed="false">
      <c r="A44" s="17" t="n">
        <v>40</v>
      </c>
      <c r="B44" s="18" t="n">
        <v>3</v>
      </c>
      <c r="C44" s="19" t="n">
        <v>12</v>
      </c>
      <c r="D44" s="20" t="s">
        <v>94</v>
      </c>
      <c r="E44" s="20" t="s">
        <v>95</v>
      </c>
      <c r="F44" s="17" t="s">
        <v>26</v>
      </c>
      <c r="G44" s="21" t="s">
        <v>46</v>
      </c>
      <c r="H44" s="22"/>
      <c r="I44" s="23"/>
    </row>
    <row r="45" customFormat="false" ht="15" hidden="false" customHeight="false" outlineLevel="0" collapsed="false">
      <c r="A45" s="17" t="n">
        <v>41</v>
      </c>
      <c r="B45" s="18" t="n">
        <v>3</v>
      </c>
      <c r="C45" s="19" t="n">
        <v>12</v>
      </c>
      <c r="D45" s="20" t="s">
        <v>91</v>
      </c>
      <c r="E45" s="20" t="s">
        <v>96</v>
      </c>
      <c r="F45" s="17" t="s">
        <v>28</v>
      </c>
      <c r="G45" s="21" t="s">
        <v>46</v>
      </c>
      <c r="H45" s="22"/>
      <c r="I45" s="23"/>
    </row>
    <row r="46" customFormat="false" ht="23.85" hidden="false" customHeight="false" outlineLevel="0" collapsed="false">
      <c r="A46" s="17" t="n">
        <v>42</v>
      </c>
      <c r="B46" s="18" t="n">
        <v>4</v>
      </c>
      <c r="C46" s="19" t="n">
        <v>13</v>
      </c>
      <c r="D46" s="20" t="s">
        <v>97</v>
      </c>
      <c r="E46" s="20" t="s">
        <v>98</v>
      </c>
      <c r="F46" s="17" t="s">
        <v>26</v>
      </c>
      <c r="G46" s="21" t="s">
        <v>46</v>
      </c>
      <c r="H46" s="22"/>
      <c r="I46" s="23"/>
    </row>
    <row r="47" customFormat="false" ht="15" hidden="false" customHeight="false" outlineLevel="0" collapsed="false">
      <c r="A47" s="17" t="n">
        <v>43</v>
      </c>
      <c r="B47" s="18" t="n">
        <v>4</v>
      </c>
      <c r="C47" s="19" t="n">
        <v>13</v>
      </c>
      <c r="D47" s="20" t="s">
        <v>97</v>
      </c>
      <c r="E47" s="20" t="s">
        <v>99</v>
      </c>
      <c r="F47" s="17" t="s">
        <v>26</v>
      </c>
      <c r="G47" s="21" t="s">
        <v>46</v>
      </c>
      <c r="H47" s="22"/>
      <c r="I47" s="23"/>
    </row>
    <row r="48" customFormat="false" ht="15" hidden="false" customHeight="false" outlineLevel="0" collapsed="false">
      <c r="A48" s="17" t="n">
        <v>44</v>
      </c>
      <c r="B48" s="18" t="n">
        <v>4</v>
      </c>
      <c r="C48" s="19" t="n">
        <v>13</v>
      </c>
      <c r="D48" s="20" t="s">
        <v>97</v>
      </c>
      <c r="E48" s="20" t="s">
        <v>100</v>
      </c>
      <c r="F48" s="17" t="s">
        <v>26</v>
      </c>
      <c r="G48" s="21" t="s">
        <v>46</v>
      </c>
      <c r="H48" s="22"/>
      <c r="I48" s="23"/>
    </row>
    <row r="49" customFormat="false" ht="15" hidden="false" customHeight="false" outlineLevel="0" collapsed="false">
      <c r="A49" s="17" t="n">
        <v>45</v>
      </c>
      <c r="B49" s="18" t="n">
        <v>4</v>
      </c>
      <c r="C49" s="19" t="n">
        <v>14</v>
      </c>
      <c r="D49" s="20" t="s">
        <v>97</v>
      </c>
      <c r="E49" s="20" t="s">
        <v>101</v>
      </c>
      <c r="F49" s="17" t="s">
        <v>26</v>
      </c>
      <c r="G49" s="21" t="s">
        <v>46</v>
      </c>
      <c r="H49" s="22"/>
      <c r="I49" s="23"/>
    </row>
    <row r="50" customFormat="false" ht="15" hidden="false" customHeight="false" outlineLevel="0" collapsed="false">
      <c r="A50" s="17" t="n">
        <v>46</v>
      </c>
      <c r="B50" s="18" t="n">
        <v>4</v>
      </c>
      <c r="C50" s="19" t="n">
        <v>14</v>
      </c>
      <c r="D50" s="20" t="s">
        <v>97</v>
      </c>
      <c r="E50" s="20" t="s">
        <v>102</v>
      </c>
      <c r="F50" s="17" t="s">
        <v>26</v>
      </c>
      <c r="G50" s="21" t="s">
        <v>46</v>
      </c>
      <c r="H50" s="22"/>
      <c r="I50" s="23"/>
    </row>
    <row r="51" customFormat="false" ht="15" hidden="false" customHeight="false" outlineLevel="0" collapsed="false">
      <c r="A51" s="17" t="n">
        <v>47</v>
      </c>
      <c r="B51" s="18" t="n">
        <v>4</v>
      </c>
      <c r="C51" s="19" t="n">
        <v>14</v>
      </c>
      <c r="D51" s="20" t="s">
        <v>97</v>
      </c>
      <c r="E51" s="20" t="s">
        <v>103</v>
      </c>
      <c r="F51" s="17" t="s">
        <v>26</v>
      </c>
      <c r="G51" s="21" t="s">
        <v>46</v>
      </c>
      <c r="H51" s="22"/>
      <c r="I51" s="23"/>
    </row>
    <row r="52" customFormat="false" ht="15" hidden="false" customHeight="false" outlineLevel="0" collapsed="false">
      <c r="A52" s="17" t="n">
        <v>48</v>
      </c>
      <c r="B52" s="18" t="n">
        <v>4</v>
      </c>
      <c r="C52" s="19" t="n">
        <v>15</v>
      </c>
      <c r="D52" s="20" t="s">
        <v>104</v>
      </c>
      <c r="E52" s="20" t="s">
        <v>105</v>
      </c>
      <c r="F52" s="17" t="s">
        <v>27</v>
      </c>
      <c r="G52" s="21" t="s">
        <v>46</v>
      </c>
      <c r="H52" s="22"/>
      <c r="I52" s="23"/>
    </row>
    <row r="53" customFormat="false" ht="15" hidden="false" customHeight="false" outlineLevel="0" collapsed="false">
      <c r="A53" s="17" t="n">
        <v>49</v>
      </c>
      <c r="B53" s="18" t="n">
        <v>4</v>
      </c>
      <c r="C53" s="19" t="n">
        <v>15</v>
      </c>
      <c r="D53" s="20" t="s">
        <v>104</v>
      </c>
      <c r="E53" s="20" t="s">
        <v>106</v>
      </c>
      <c r="F53" s="17" t="s">
        <v>27</v>
      </c>
      <c r="G53" s="21" t="s">
        <v>46</v>
      </c>
      <c r="H53" s="22"/>
      <c r="I53" s="23"/>
    </row>
    <row r="54" customFormat="false" ht="15" hidden="false" customHeight="false" outlineLevel="0" collapsed="false">
      <c r="A54" s="17" t="n">
        <v>50</v>
      </c>
      <c r="B54" s="18" t="n">
        <v>4</v>
      </c>
      <c r="C54" s="19" t="n">
        <v>15</v>
      </c>
      <c r="D54" s="20" t="s">
        <v>104</v>
      </c>
      <c r="E54" s="20" t="s">
        <v>107</v>
      </c>
      <c r="F54" s="17" t="s">
        <v>27</v>
      </c>
      <c r="G54" s="21" t="s">
        <v>46</v>
      </c>
      <c r="H54" s="22"/>
      <c r="I54" s="23"/>
    </row>
    <row r="55" customFormat="false" ht="15" hidden="false" customHeight="false" outlineLevel="0" collapsed="false">
      <c r="A55" s="17" t="n">
        <v>51</v>
      </c>
      <c r="B55" s="18" t="n">
        <v>4</v>
      </c>
      <c r="C55" s="19" t="n">
        <v>16</v>
      </c>
      <c r="D55" s="20" t="s">
        <v>108</v>
      </c>
      <c r="E55" s="20" t="s">
        <v>109</v>
      </c>
      <c r="F55" s="17" t="s">
        <v>28</v>
      </c>
      <c r="G55" s="21" t="s">
        <v>46</v>
      </c>
      <c r="H55" s="22"/>
      <c r="I55" s="23"/>
    </row>
    <row r="56" customFormat="false" ht="15" hidden="false" customHeight="false" outlineLevel="0" collapsed="false">
      <c r="A56" s="17" t="n">
        <v>52</v>
      </c>
      <c r="B56" s="18" t="n">
        <v>4</v>
      </c>
      <c r="C56" s="19" t="n">
        <v>16</v>
      </c>
      <c r="D56" s="20" t="s">
        <v>104</v>
      </c>
      <c r="E56" s="20" t="s">
        <v>110</v>
      </c>
      <c r="F56" s="17" t="s">
        <v>28</v>
      </c>
      <c r="G56" s="21" t="s">
        <v>46</v>
      </c>
      <c r="H56" s="22"/>
      <c r="I56" s="23"/>
    </row>
    <row r="57" customFormat="false" ht="15" hidden="false" customHeight="false" outlineLevel="0" collapsed="false">
      <c r="A57" s="17" t="n">
        <v>53</v>
      </c>
      <c r="B57" s="18" t="n">
        <v>4</v>
      </c>
      <c r="C57" s="19" t="n">
        <v>16</v>
      </c>
      <c r="D57" s="20" t="s">
        <v>104</v>
      </c>
      <c r="E57" s="20" t="s">
        <v>111</v>
      </c>
      <c r="F57" s="17" t="s">
        <v>28</v>
      </c>
      <c r="G57" s="21" t="s">
        <v>46</v>
      </c>
      <c r="H57" s="22"/>
      <c r="I57" s="23"/>
    </row>
  </sheetData>
  <autoFilter ref="A4:I57"/>
  <conditionalFormatting sqref="G5:G57">
    <cfRule type="cellIs" priority="2" operator="equal" aboveAverage="0" equalAverage="0" bottom="0" percent="0" rank="0" text="" dxfId="7">
      <formula>"Done"</formula>
    </cfRule>
    <cfRule type="cellIs" priority="3" operator="equal" aboveAverage="0" equalAverage="0" bottom="0" percent="0" rank="0" text="" dxfId="8">
      <formula>"In Progress"</formula>
    </cfRule>
  </conditionalFormatting>
  <conditionalFormatting sqref="A5:F57">
    <cfRule type="expression" priority="4" aboveAverage="0" equalAverage="0" bottom="0" percent="0" rank="0" text="" dxfId="9">
      <formula>$F5="Milestone"</formula>
    </cfRule>
  </conditionalFormatting>
  <dataValidations count="1">
    <dataValidation allowBlank="false" errorStyle="stop" operator="between" showDropDown="false" showErrorMessage="false" showInputMessage="false" sqref="G5:G57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9"/>
    <col collapsed="false" customWidth="true" hidden="false" outlineLevel="0" max="6" min="5" style="0" width="14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14" t="s">
        <v>38</v>
      </c>
      <c r="B4" s="14" t="s">
        <v>15</v>
      </c>
      <c r="C4" s="14" t="s">
        <v>17</v>
      </c>
      <c r="D4" s="14" t="s">
        <v>18</v>
      </c>
      <c r="E4" s="14" t="s">
        <v>19</v>
      </c>
      <c r="F4" s="14" t="s">
        <v>114</v>
      </c>
      <c r="G4" s="14" t="s">
        <v>115</v>
      </c>
      <c r="H4" s="14" t="s">
        <v>116</v>
      </c>
    </row>
    <row r="5" customFormat="false" ht="15" hidden="false" customHeight="false" outlineLevel="0" collapsed="false">
      <c r="A5" s="19" t="n">
        <v>1</v>
      </c>
      <c r="B5" s="18" t="n">
        <f aca="false">INT((1-1)/4)+1</f>
        <v>1</v>
      </c>
      <c r="C5" s="24" t="n">
        <f aca="false">COUNTIF('Weekly Plan'!$C$5:$C$57,A5)</f>
        <v>3</v>
      </c>
      <c r="D5" s="24" t="n">
        <f aca="false">COUNTIFS('Weekly Plan'!$C$5:$C$57,A5,'Weekly Plan'!$G$5:$G$57,"Done")</f>
        <v>0</v>
      </c>
      <c r="E5" s="25" t="n">
        <f aca="false">IF(C5=0,0,D5/C5)</f>
        <v>0</v>
      </c>
      <c r="F5" s="26"/>
      <c r="G5" s="21"/>
      <c r="H5" s="23"/>
    </row>
    <row r="6" customFormat="false" ht="15" hidden="false" customHeight="false" outlineLevel="0" collapsed="false">
      <c r="A6" s="19" t="n">
        <v>2</v>
      </c>
      <c r="B6" s="18" t="n">
        <f aca="false">INT((2-1)/4)+1</f>
        <v>1</v>
      </c>
      <c r="C6" s="24" t="n">
        <f aca="false">COUNTIF('Weekly Plan'!$C$5:$C$57,A6)</f>
        <v>3</v>
      </c>
      <c r="D6" s="24" t="n">
        <f aca="false">COUNTIFS('Weekly Plan'!$C$5:$C$57,A6,'Weekly Plan'!$G$5:$G$57,"Done")</f>
        <v>0</v>
      </c>
      <c r="E6" s="25" t="n">
        <f aca="false">IF(C6=0,0,D6/C6)</f>
        <v>0</v>
      </c>
      <c r="F6" s="26"/>
      <c r="G6" s="21"/>
      <c r="H6" s="23"/>
    </row>
    <row r="7" customFormat="false" ht="15" hidden="false" customHeight="false" outlineLevel="0" collapsed="false">
      <c r="A7" s="19" t="n">
        <v>3</v>
      </c>
      <c r="B7" s="18" t="n">
        <f aca="false">INT((3-1)/4)+1</f>
        <v>1</v>
      </c>
      <c r="C7" s="24" t="n">
        <f aca="false">COUNTIF('Weekly Plan'!$C$5:$C$57,A7)</f>
        <v>4</v>
      </c>
      <c r="D7" s="24" t="n">
        <f aca="false">COUNTIFS('Weekly Plan'!$C$5:$C$57,A7,'Weekly Plan'!$G$5:$G$57,"Done")</f>
        <v>0</v>
      </c>
      <c r="E7" s="25" t="n">
        <f aca="false">IF(C7=0,0,D7/C7)</f>
        <v>0</v>
      </c>
      <c r="F7" s="26"/>
      <c r="G7" s="21"/>
      <c r="H7" s="23"/>
    </row>
    <row r="8" customFormat="false" ht="15" hidden="false" customHeight="false" outlineLevel="0" collapsed="false">
      <c r="A8" s="19" t="n">
        <v>4</v>
      </c>
      <c r="B8" s="18" t="n">
        <f aca="false">INT((4-1)/4)+1</f>
        <v>1</v>
      </c>
      <c r="C8" s="24" t="n">
        <f aca="false">COUNTIF('Weekly Plan'!$C$5:$C$57,A8)</f>
        <v>5</v>
      </c>
      <c r="D8" s="24" t="n">
        <f aca="false">COUNTIFS('Weekly Plan'!$C$5:$C$57,A8,'Weekly Plan'!$G$5:$G$57,"Done")</f>
        <v>0</v>
      </c>
      <c r="E8" s="25" t="n">
        <f aca="false">IF(C8=0,0,D8/C8)</f>
        <v>0</v>
      </c>
      <c r="F8" s="26"/>
      <c r="G8" s="21"/>
      <c r="H8" s="23"/>
    </row>
    <row r="9" customFormat="false" ht="15" hidden="false" customHeight="false" outlineLevel="0" collapsed="false">
      <c r="A9" s="19" t="n">
        <v>5</v>
      </c>
      <c r="B9" s="18" t="n">
        <f aca="false">INT((5-1)/4)+1</f>
        <v>2</v>
      </c>
      <c r="C9" s="24" t="n">
        <f aca="false">COUNTIF('Weekly Plan'!$C$5:$C$57,A9)</f>
        <v>3</v>
      </c>
      <c r="D9" s="24" t="n">
        <f aca="false">COUNTIFS('Weekly Plan'!$C$5:$C$57,A9,'Weekly Plan'!$G$5:$G$57,"Done")</f>
        <v>0</v>
      </c>
      <c r="E9" s="25" t="n">
        <f aca="false">IF(C9=0,0,D9/C9)</f>
        <v>0</v>
      </c>
      <c r="F9" s="26"/>
      <c r="G9" s="21"/>
      <c r="H9" s="23"/>
    </row>
    <row r="10" customFormat="false" ht="15" hidden="false" customHeight="false" outlineLevel="0" collapsed="false">
      <c r="A10" s="19" t="n">
        <v>6</v>
      </c>
      <c r="B10" s="18" t="n">
        <f aca="false">INT((6-1)/4)+1</f>
        <v>2</v>
      </c>
      <c r="C10" s="24" t="n">
        <f aca="false">COUNTIF('Weekly Plan'!$C$5:$C$57,A10)</f>
        <v>3</v>
      </c>
      <c r="D10" s="24" t="n">
        <f aca="false">COUNTIFS('Weekly Plan'!$C$5:$C$57,A10,'Weekly Plan'!$G$5:$G$57,"Done")</f>
        <v>0</v>
      </c>
      <c r="E10" s="25" t="n">
        <f aca="false">IF(C10=0,0,D10/C10)</f>
        <v>0</v>
      </c>
      <c r="F10" s="26"/>
      <c r="G10" s="21"/>
      <c r="H10" s="23"/>
    </row>
    <row r="11" customFormat="false" ht="15" hidden="false" customHeight="false" outlineLevel="0" collapsed="false">
      <c r="A11" s="19" t="n">
        <v>7</v>
      </c>
      <c r="B11" s="18" t="n">
        <f aca="false">INT((7-1)/4)+1</f>
        <v>2</v>
      </c>
      <c r="C11" s="24" t="n">
        <f aca="false">COUNTIF('Weekly Plan'!$C$5:$C$57,A11)</f>
        <v>3</v>
      </c>
      <c r="D11" s="24" t="n">
        <f aca="false">COUNTIFS('Weekly Plan'!$C$5:$C$57,A11,'Weekly Plan'!$G$5:$G$57,"Done")</f>
        <v>0</v>
      </c>
      <c r="E11" s="25" t="n">
        <f aca="false">IF(C11=0,0,D11/C11)</f>
        <v>0</v>
      </c>
      <c r="F11" s="26"/>
      <c r="G11" s="21"/>
      <c r="H11" s="23"/>
    </row>
    <row r="12" customFormat="false" ht="15" hidden="false" customHeight="false" outlineLevel="0" collapsed="false">
      <c r="A12" s="19" t="n">
        <v>8</v>
      </c>
      <c r="B12" s="18" t="n">
        <f aca="false">INT((8-1)/4)+1</f>
        <v>2</v>
      </c>
      <c r="C12" s="24" t="n">
        <f aca="false">COUNTIF('Weekly Plan'!$C$5:$C$57,A12)</f>
        <v>4</v>
      </c>
      <c r="D12" s="24" t="n">
        <f aca="false">COUNTIFS('Weekly Plan'!$C$5:$C$57,A12,'Weekly Plan'!$G$5:$G$57,"Done")</f>
        <v>0</v>
      </c>
      <c r="E12" s="25" t="n">
        <f aca="false">IF(C12=0,0,D12/C12)</f>
        <v>0</v>
      </c>
      <c r="F12" s="26"/>
      <c r="G12" s="21"/>
      <c r="H12" s="23"/>
    </row>
    <row r="13" customFormat="false" ht="15" hidden="false" customHeight="false" outlineLevel="0" collapsed="false">
      <c r="A13" s="19" t="n">
        <v>9</v>
      </c>
      <c r="B13" s="18" t="n">
        <f aca="false">INT((9-1)/4)+1</f>
        <v>3</v>
      </c>
      <c r="C13" s="24" t="n">
        <f aca="false">COUNTIF('Weekly Plan'!$C$5:$C$57,A13)</f>
        <v>3</v>
      </c>
      <c r="D13" s="24" t="n">
        <f aca="false">COUNTIFS('Weekly Plan'!$C$5:$C$57,A13,'Weekly Plan'!$G$5:$G$57,"Done")</f>
        <v>0</v>
      </c>
      <c r="E13" s="25" t="n">
        <f aca="false">IF(C13=0,0,D13/C13)</f>
        <v>0</v>
      </c>
      <c r="F13" s="26"/>
      <c r="G13" s="21"/>
      <c r="H13" s="23"/>
    </row>
    <row r="14" customFormat="false" ht="15" hidden="false" customHeight="false" outlineLevel="0" collapsed="false">
      <c r="A14" s="19" t="n">
        <v>10</v>
      </c>
      <c r="B14" s="18" t="n">
        <f aca="false">INT((10-1)/4)+1</f>
        <v>3</v>
      </c>
      <c r="C14" s="24" t="n">
        <f aca="false">COUNTIF('Weekly Plan'!$C$5:$C$57,A14)</f>
        <v>3</v>
      </c>
      <c r="D14" s="24" t="n">
        <f aca="false">COUNTIFS('Weekly Plan'!$C$5:$C$57,A14,'Weekly Plan'!$G$5:$G$57,"Done")</f>
        <v>0</v>
      </c>
      <c r="E14" s="25" t="n">
        <f aca="false">IF(C14=0,0,D14/C14)</f>
        <v>0</v>
      </c>
      <c r="F14" s="26"/>
      <c r="G14" s="21"/>
      <c r="H14" s="23"/>
    </row>
    <row r="15" customFormat="false" ht="15" hidden="false" customHeight="false" outlineLevel="0" collapsed="false">
      <c r="A15" s="19" t="n">
        <v>11</v>
      </c>
      <c r="B15" s="18" t="n">
        <f aca="false">INT((11-1)/4)+1</f>
        <v>3</v>
      </c>
      <c r="C15" s="24" t="n">
        <f aca="false">COUNTIF('Weekly Plan'!$C$5:$C$57,A15)</f>
        <v>3</v>
      </c>
      <c r="D15" s="24" t="n">
        <f aca="false">COUNTIFS('Weekly Plan'!$C$5:$C$57,A15,'Weekly Plan'!$G$5:$G$57,"Done")</f>
        <v>0</v>
      </c>
      <c r="E15" s="25" t="n">
        <f aca="false">IF(C15=0,0,D15/C15)</f>
        <v>0</v>
      </c>
      <c r="F15" s="26"/>
      <c r="G15" s="21"/>
      <c r="H15" s="23"/>
    </row>
    <row r="16" customFormat="false" ht="15" hidden="false" customHeight="false" outlineLevel="0" collapsed="false">
      <c r="A16" s="19" t="n">
        <v>12</v>
      </c>
      <c r="B16" s="18" t="n">
        <f aca="false">INT((12-1)/4)+1</f>
        <v>3</v>
      </c>
      <c r="C16" s="24" t="n">
        <f aca="false">COUNTIF('Weekly Plan'!$C$5:$C$57,A16)</f>
        <v>4</v>
      </c>
      <c r="D16" s="24" t="n">
        <f aca="false">COUNTIFS('Weekly Plan'!$C$5:$C$57,A16,'Weekly Plan'!$G$5:$G$57,"Done")</f>
        <v>0</v>
      </c>
      <c r="E16" s="25" t="n">
        <f aca="false">IF(C16=0,0,D16/C16)</f>
        <v>0</v>
      </c>
      <c r="F16" s="26"/>
      <c r="G16" s="21"/>
      <c r="H16" s="23"/>
    </row>
    <row r="17" customFormat="false" ht="15" hidden="false" customHeight="false" outlineLevel="0" collapsed="false">
      <c r="A17" s="19" t="n">
        <v>13</v>
      </c>
      <c r="B17" s="18" t="n">
        <f aca="false">INT((13-1)/4)+1</f>
        <v>4</v>
      </c>
      <c r="C17" s="24" t="n">
        <f aca="false">COUNTIF('Weekly Plan'!$C$5:$C$57,A17)</f>
        <v>3</v>
      </c>
      <c r="D17" s="24" t="n">
        <f aca="false">COUNTIFS('Weekly Plan'!$C$5:$C$57,A17,'Weekly Plan'!$G$5:$G$57,"Done")</f>
        <v>0</v>
      </c>
      <c r="E17" s="25" t="n">
        <f aca="false">IF(C17=0,0,D17/C17)</f>
        <v>0</v>
      </c>
      <c r="F17" s="26"/>
      <c r="G17" s="21"/>
      <c r="H17" s="23"/>
    </row>
    <row r="18" customFormat="false" ht="15" hidden="false" customHeight="false" outlineLevel="0" collapsed="false">
      <c r="A18" s="19" t="n">
        <v>14</v>
      </c>
      <c r="B18" s="18" t="n">
        <f aca="false">INT((14-1)/4)+1</f>
        <v>4</v>
      </c>
      <c r="C18" s="24" t="n">
        <f aca="false">COUNTIF('Weekly Plan'!$C$5:$C$57,A18)</f>
        <v>3</v>
      </c>
      <c r="D18" s="24" t="n">
        <f aca="false">COUNTIFS('Weekly Plan'!$C$5:$C$57,A18,'Weekly Plan'!$G$5:$G$57,"Done")</f>
        <v>0</v>
      </c>
      <c r="E18" s="25" t="n">
        <f aca="false">IF(C18=0,0,D18/C18)</f>
        <v>0</v>
      </c>
      <c r="F18" s="26"/>
      <c r="G18" s="21"/>
      <c r="H18" s="23"/>
    </row>
    <row r="19" customFormat="false" ht="15" hidden="false" customHeight="false" outlineLevel="0" collapsed="false">
      <c r="A19" s="19" t="n">
        <v>15</v>
      </c>
      <c r="B19" s="18" t="n">
        <f aca="false">INT((15-1)/4)+1</f>
        <v>4</v>
      </c>
      <c r="C19" s="24" t="n">
        <f aca="false">COUNTIF('Weekly Plan'!$C$5:$C$57,A19)</f>
        <v>3</v>
      </c>
      <c r="D19" s="24" t="n">
        <f aca="false">COUNTIFS('Weekly Plan'!$C$5:$C$57,A19,'Weekly Plan'!$G$5:$G$57,"Done")</f>
        <v>0</v>
      </c>
      <c r="E19" s="25" t="n">
        <f aca="false">IF(C19=0,0,D19/C19)</f>
        <v>0</v>
      </c>
      <c r="F19" s="26"/>
      <c r="G19" s="21"/>
      <c r="H19" s="23"/>
    </row>
    <row r="20" customFormat="false" ht="15" hidden="false" customHeight="false" outlineLevel="0" collapsed="false">
      <c r="A20" s="19" t="n">
        <v>16</v>
      </c>
      <c r="B20" s="18" t="n">
        <f aca="false">INT((16-1)/4)+1</f>
        <v>4</v>
      </c>
      <c r="C20" s="24" t="n">
        <f aca="false">COUNTIF('Weekly Plan'!$C$5:$C$57,A20)</f>
        <v>3</v>
      </c>
      <c r="D20" s="24" t="n">
        <f aca="false">COUNTIFS('Weekly Plan'!$C$5:$C$57,A20,'Weekly Plan'!$G$5:$G$57,"Done")</f>
        <v>0</v>
      </c>
      <c r="E20" s="25" t="n">
        <f aca="false">IF(C20=0,0,D20/C20)</f>
        <v>0</v>
      </c>
      <c r="F20" s="26"/>
      <c r="G20" s="21"/>
      <c r="H20" s="23"/>
    </row>
    <row r="21" customFormat="false" ht="15" hidden="false" customHeight="false" outlineLevel="0" collapsed="false">
      <c r="A21" s="27" t="s">
        <v>117</v>
      </c>
      <c r="C21" s="27" t="n">
        <f aca="false">SUM(C5:C20)</f>
        <v>53</v>
      </c>
      <c r="D21" s="27" t="n">
        <f aca="false">SUM(D5:D20)</f>
        <v>0</v>
      </c>
      <c r="E21" s="28" t="n">
        <f aca="false">IF(C21=0,0,D21/C21)</f>
        <v>0</v>
      </c>
      <c r="F21" s="29" t="n">
        <f aca="false">SUM(F5:F20)</f>
        <v>0</v>
      </c>
      <c r="G21" s="29" t="n">
        <f aca="false">IF(COUNT(G5:G20)=0,0,AVERAGE(G5:G20))</f>
        <v>0</v>
      </c>
    </row>
  </sheetData>
  <dataValidations count="1">
    <dataValidation allowBlank="true" errorStyle="stop" operator="between" showDropDown="false" showErrorMessage="false" showInputMessage="false" sqref="G5:G20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6" min="4" style="0" width="16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118</v>
      </c>
    </row>
    <row r="2" customFormat="false" ht="15" hidden="false" customHeight="false" outlineLevel="0" collapsed="false">
      <c r="A2" s="2" t="s">
        <v>119</v>
      </c>
    </row>
    <row r="4" customFormat="false" ht="15" hidden="false" customHeight="false" outlineLevel="0" collapsed="false">
      <c r="A4" s="14" t="s">
        <v>108</v>
      </c>
      <c r="B4" s="14" t="s">
        <v>120</v>
      </c>
      <c r="C4" s="14" t="s">
        <v>121</v>
      </c>
      <c r="D4" s="14" t="s">
        <v>122</v>
      </c>
      <c r="E4" s="14" t="s">
        <v>41</v>
      </c>
      <c r="F4" s="14" t="s">
        <v>123</v>
      </c>
      <c r="G4" s="14" t="s">
        <v>43</v>
      </c>
    </row>
    <row r="5" customFormat="false" ht="15" hidden="false" customHeight="false" outlineLevel="0" collapsed="false">
      <c r="A5" s="20" t="s">
        <v>124</v>
      </c>
      <c r="B5" s="20" t="s">
        <v>125</v>
      </c>
      <c r="C5" s="20" t="s">
        <v>126</v>
      </c>
      <c r="D5" s="20" t="s">
        <v>127</v>
      </c>
      <c r="E5" s="23" t="s">
        <v>46</v>
      </c>
      <c r="F5" s="23"/>
      <c r="G5" s="20" t="s">
        <v>128</v>
      </c>
    </row>
    <row r="6" customFormat="false" ht="23.85" hidden="false" customHeight="false" outlineLevel="0" collapsed="false">
      <c r="A6" s="20" t="s">
        <v>129</v>
      </c>
      <c r="B6" s="20" t="s">
        <v>130</v>
      </c>
      <c r="C6" s="20" t="s">
        <v>126</v>
      </c>
      <c r="D6" s="20" t="s">
        <v>127</v>
      </c>
      <c r="E6" s="23" t="s">
        <v>46</v>
      </c>
      <c r="F6" s="23"/>
      <c r="G6" s="20" t="s">
        <v>131</v>
      </c>
    </row>
    <row r="7" customFormat="false" ht="15" hidden="false" customHeight="false" outlineLevel="0" collapsed="false">
      <c r="A7" s="20" t="s">
        <v>132</v>
      </c>
      <c r="B7" s="20" t="s">
        <v>125</v>
      </c>
      <c r="C7" s="20" t="s">
        <v>133</v>
      </c>
      <c r="D7" s="20" t="s">
        <v>134</v>
      </c>
      <c r="E7" s="23" t="s">
        <v>46</v>
      </c>
      <c r="F7" s="23"/>
      <c r="G7" s="20" t="s">
        <v>135</v>
      </c>
    </row>
    <row r="8" customFormat="false" ht="15" hidden="false" customHeight="false" outlineLevel="0" collapsed="false">
      <c r="A8" s="20" t="s">
        <v>136</v>
      </c>
      <c r="B8" s="20" t="s">
        <v>137</v>
      </c>
      <c r="C8" s="20" t="s">
        <v>138</v>
      </c>
      <c r="D8" s="20" t="s">
        <v>139</v>
      </c>
      <c r="E8" s="23" t="s">
        <v>46</v>
      </c>
      <c r="F8" s="23"/>
      <c r="G8" s="20" t="s">
        <v>140</v>
      </c>
    </row>
  </sheetData>
  <conditionalFormatting sqref="E5:E8">
    <cfRule type="cellIs" priority="2" operator="equal" aboveAverage="0" equalAverage="0" bottom="0" percent="0" rank="0" text="" dxfId="10">
      <formula>"Passed"</formula>
    </cfRule>
  </conditionalFormatting>
  <dataValidations count="1">
    <dataValidation allowBlank="false" errorStyle="stop" operator="between" showDropDown="false" showErrorMessage="false" showInputMessage="false" sqref="E5:E8" type="list">
      <formula1>"Not Started,Studying,Booked,Passed,Failed - Retake"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5" min="4" style="0" width="48"/>
    <col collapsed="false" customWidth="true" hidden="false" outlineLevel="0" max="6" min="6" style="0" width="8"/>
  </cols>
  <sheetData>
    <row r="1" customFormat="false" ht="19.7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14" t="s">
        <v>143</v>
      </c>
      <c r="B4" s="14" t="s">
        <v>38</v>
      </c>
      <c r="C4" s="14" t="s">
        <v>144</v>
      </c>
      <c r="D4" s="14" t="s">
        <v>145</v>
      </c>
      <c r="E4" s="14" t="s">
        <v>146</v>
      </c>
      <c r="F4" s="14" t="s">
        <v>147</v>
      </c>
    </row>
    <row r="5" customFormat="false" ht="15" hidden="false" customHeight="false" outlineLevel="0" collapsed="false">
      <c r="A5" s="30" t="n">
        <v>46307</v>
      </c>
      <c r="B5" s="23" t="n">
        <v>1</v>
      </c>
      <c r="C5" s="23" t="s">
        <v>148</v>
      </c>
      <c r="D5" s="23" t="s">
        <v>149</v>
      </c>
      <c r="E5" s="23" t="s">
        <v>150</v>
      </c>
      <c r="F5" s="31" t="n">
        <v>1.5</v>
      </c>
    </row>
    <row r="6" customFormat="false" ht="15" hidden="false" customHeight="false" outlineLevel="0" collapsed="false">
      <c r="A6" s="30"/>
      <c r="B6" s="23"/>
      <c r="C6" s="23"/>
      <c r="D6" s="23"/>
      <c r="E6" s="23"/>
      <c r="F6" s="31"/>
    </row>
    <row r="7" customFormat="false" ht="15" hidden="false" customHeight="false" outlineLevel="0" collapsed="false">
      <c r="A7" s="30"/>
      <c r="B7" s="23"/>
      <c r="C7" s="23"/>
      <c r="D7" s="23"/>
      <c r="E7" s="23"/>
      <c r="F7" s="31"/>
    </row>
    <row r="8" customFormat="false" ht="15" hidden="false" customHeight="false" outlineLevel="0" collapsed="false">
      <c r="A8" s="30"/>
      <c r="B8" s="23"/>
      <c r="C8" s="23"/>
      <c r="D8" s="23"/>
      <c r="E8" s="23"/>
      <c r="F8" s="31"/>
    </row>
    <row r="9" customFormat="false" ht="15" hidden="false" customHeight="false" outlineLevel="0" collapsed="false">
      <c r="A9" s="30"/>
      <c r="B9" s="23"/>
      <c r="C9" s="23"/>
      <c r="D9" s="23"/>
      <c r="E9" s="23"/>
      <c r="F9" s="31"/>
    </row>
    <row r="10" customFormat="false" ht="15" hidden="false" customHeight="false" outlineLevel="0" collapsed="false">
      <c r="A10" s="30"/>
      <c r="B10" s="23"/>
      <c r="C10" s="23"/>
      <c r="D10" s="23"/>
      <c r="E10" s="23"/>
      <c r="F10" s="31"/>
    </row>
    <row r="11" customFormat="false" ht="15" hidden="false" customHeight="false" outlineLevel="0" collapsed="false">
      <c r="A11" s="30"/>
      <c r="B11" s="23"/>
      <c r="C11" s="23"/>
      <c r="D11" s="23"/>
      <c r="E11" s="23"/>
      <c r="F11" s="31"/>
    </row>
    <row r="12" customFormat="false" ht="15" hidden="false" customHeight="false" outlineLevel="0" collapsed="false">
      <c r="A12" s="30"/>
      <c r="B12" s="23"/>
      <c r="C12" s="23"/>
      <c r="D12" s="23"/>
      <c r="E12" s="23"/>
      <c r="F12" s="31"/>
    </row>
    <row r="13" customFormat="false" ht="15" hidden="false" customHeight="false" outlineLevel="0" collapsed="false">
      <c r="A13" s="30"/>
      <c r="B13" s="23"/>
      <c r="C13" s="23"/>
      <c r="D13" s="23"/>
      <c r="E13" s="23"/>
      <c r="F13" s="31"/>
    </row>
    <row r="14" customFormat="false" ht="15" hidden="false" customHeight="false" outlineLevel="0" collapsed="false">
      <c r="A14" s="30"/>
      <c r="B14" s="23"/>
      <c r="C14" s="23"/>
      <c r="D14" s="23"/>
      <c r="E14" s="23"/>
      <c r="F14" s="31"/>
    </row>
    <row r="15" customFormat="false" ht="15" hidden="false" customHeight="false" outlineLevel="0" collapsed="false">
      <c r="A15" s="30"/>
      <c r="B15" s="23"/>
      <c r="C15" s="23"/>
      <c r="D15" s="23"/>
      <c r="E15" s="23"/>
      <c r="F15" s="31"/>
    </row>
    <row r="16" customFormat="false" ht="15" hidden="false" customHeight="false" outlineLevel="0" collapsed="false">
      <c r="A16" s="30"/>
      <c r="B16" s="23"/>
      <c r="C16" s="23"/>
      <c r="D16" s="23"/>
      <c r="E16" s="23"/>
      <c r="F16" s="31"/>
    </row>
    <row r="17" customFormat="false" ht="15" hidden="false" customHeight="false" outlineLevel="0" collapsed="false">
      <c r="A17" s="30"/>
      <c r="B17" s="23"/>
      <c r="C17" s="23"/>
      <c r="D17" s="23"/>
      <c r="E17" s="23"/>
      <c r="F17" s="31"/>
    </row>
    <row r="18" customFormat="false" ht="15" hidden="false" customHeight="false" outlineLevel="0" collapsed="false">
      <c r="A18" s="30"/>
      <c r="B18" s="23"/>
      <c r="C18" s="23"/>
      <c r="D18" s="23"/>
      <c r="E18" s="23"/>
      <c r="F18" s="31"/>
    </row>
    <row r="19" customFormat="false" ht="15" hidden="false" customHeight="false" outlineLevel="0" collapsed="false">
      <c r="A19" s="30"/>
      <c r="B19" s="23"/>
      <c r="C19" s="23"/>
      <c r="D19" s="23"/>
      <c r="E19" s="23"/>
      <c r="F19" s="31"/>
    </row>
    <row r="20" customFormat="false" ht="15" hidden="false" customHeight="false" outlineLevel="0" collapsed="false">
      <c r="A20" s="30"/>
      <c r="B20" s="23"/>
      <c r="C20" s="23"/>
      <c r="D20" s="23"/>
      <c r="E20" s="23"/>
      <c r="F20" s="31"/>
    </row>
    <row r="21" customFormat="false" ht="15" hidden="false" customHeight="false" outlineLevel="0" collapsed="false">
      <c r="A21" s="30"/>
      <c r="B21" s="23"/>
      <c r="C21" s="23"/>
      <c r="D21" s="23"/>
      <c r="E21" s="23"/>
      <c r="F21" s="31"/>
    </row>
    <row r="22" customFormat="false" ht="15" hidden="false" customHeight="false" outlineLevel="0" collapsed="false">
      <c r="A22" s="30"/>
      <c r="B22" s="23"/>
      <c r="C22" s="23"/>
      <c r="D22" s="23"/>
      <c r="E22" s="23"/>
      <c r="F22" s="31"/>
    </row>
    <row r="23" customFormat="false" ht="15" hidden="false" customHeight="false" outlineLevel="0" collapsed="false">
      <c r="A23" s="30"/>
      <c r="B23" s="23"/>
      <c r="C23" s="23"/>
      <c r="D23" s="23"/>
      <c r="E23" s="23"/>
      <c r="F23" s="31"/>
    </row>
    <row r="24" customFormat="false" ht="15" hidden="false" customHeight="false" outlineLevel="0" collapsed="false">
      <c r="A24" s="30"/>
      <c r="B24" s="23"/>
      <c r="C24" s="23"/>
      <c r="D24" s="23"/>
      <c r="E24" s="23"/>
      <c r="F24" s="31"/>
    </row>
    <row r="25" customFormat="false" ht="15" hidden="false" customHeight="false" outlineLevel="0" collapsed="false">
      <c r="A25" s="30"/>
      <c r="B25" s="23"/>
      <c r="C25" s="23"/>
      <c r="D25" s="23"/>
      <c r="E25" s="23"/>
      <c r="F25" s="31"/>
    </row>
    <row r="26" customFormat="false" ht="15" hidden="false" customHeight="false" outlineLevel="0" collapsed="false">
      <c r="A26" s="30"/>
      <c r="B26" s="23"/>
      <c r="C26" s="23"/>
      <c r="D26" s="23"/>
      <c r="E26" s="23"/>
      <c r="F26" s="31"/>
    </row>
    <row r="27" customFormat="false" ht="15" hidden="false" customHeight="false" outlineLevel="0" collapsed="false">
      <c r="A27" s="30"/>
      <c r="B27" s="23"/>
      <c r="C27" s="23"/>
      <c r="D27" s="23"/>
      <c r="E27" s="23"/>
      <c r="F27" s="31"/>
    </row>
    <row r="28" customFormat="false" ht="15" hidden="false" customHeight="false" outlineLevel="0" collapsed="false">
      <c r="A28" s="30"/>
      <c r="B28" s="23"/>
      <c r="C28" s="23"/>
      <c r="D28" s="23"/>
      <c r="E28" s="23"/>
      <c r="F28" s="31"/>
    </row>
    <row r="29" customFormat="false" ht="15" hidden="false" customHeight="false" outlineLevel="0" collapsed="false">
      <c r="A29" s="30"/>
      <c r="B29" s="23"/>
      <c r="C29" s="23"/>
      <c r="D29" s="23"/>
      <c r="E29" s="23"/>
      <c r="F29" s="31"/>
    </row>
    <row r="30" customFormat="false" ht="15" hidden="false" customHeight="false" outlineLevel="0" collapsed="false">
      <c r="A30" s="30"/>
      <c r="B30" s="23"/>
      <c r="C30" s="23"/>
      <c r="D30" s="23"/>
      <c r="E30" s="23"/>
      <c r="F30" s="31"/>
    </row>
    <row r="31" customFormat="false" ht="15" hidden="false" customHeight="false" outlineLevel="0" collapsed="false">
      <c r="A31" s="30"/>
      <c r="B31" s="23"/>
      <c r="C31" s="23"/>
      <c r="D31" s="23"/>
      <c r="E31" s="23"/>
      <c r="F31" s="31"/>
    </row>
    <row r="32" customFormat="false" ht="15" hidden="false" customHeight="false" outlineLevel="0" collapsed="false">
      <c r="A32" s="30"/>
      <c r="B32" s="23"/>
      <c r="C32" s="23"/>
      <c r="D32" s="23"/>
      <c r="E32" s="23"/>
      <c r="F32" s="31"/>
    </row>
    <row r="33" customFormat="false" ht="15" hidden="false" customHeight="false" outlineLevel="0" collapsed="false">
      <c r="A33" s="30"/>
      <c r="B33" s="23"/>
      <c r="C33" s="23"/>
      <c r="D33" s="23"/>
      <c r="E33" s="23"/>
      <c r="F33" s="31"/>
    </row>
    <row r="34" customFormat="false" ht="15" hidden="false" customHeight="false" outlineLevel="0" collapsed="false">
      <c r="A34" s="30"/>
      <c r="B34" s="23"/>
      <c r="C34" s="23"/>
      <c r="D34" s="23"/>
      <c r="E34" s="23"/>
      <c r="F34" s="31"/>
    </row>
    <row r="35" customFormat="false" ht="15" hidden="false" customHeight="false" outlineLevel="0" collapsed="false">
      <c r="A35" s="30"/>
      <c r="B35" s="23"/>
      <c r="C35" s="23"/>
      <c r="D35" s="23"/>
      <c r="E35" s="23"/>
      <c r="F35" s="31"/>
    </row>
    <row r="36" customFormat="false" ht="15" hidden="false" customHeight="false" outlineLevel="0" collapsed="false">
      <c r="A36" s="30"/>
      <c r="B36" s="23"/>
      <c r="C36" s="23"/>
      <c r="D36" s="23"/>
      <c r="E36" s="23"/>
      <c r="F36" s="31"/>
    </row>
    <row r="37" customFormat="false" ht="15" hidden="false" customHeight="false" outlineLevel="0" collapsed="false">
      <c r="A37" s="30"/>
      <c r="B37" s="23"/>
      <c r="C37" s="23"/>
      <c r="D37" s="23"/>
      <c r="E37" s="23"/>
      <c r="F37" s="31"/>
    </row>
    <row r="38" customFormat="false" ht="15" hidden="false" customHeight="false" outlineLevel="0" collapsed="false">
      <c r="A38" s="30"/>
      <c r="B38" s="23"/>
      <c r="C38" s="23"/>
      <c r="D38" s="23"/>
      <c r="E38" s="23"/>
      <c r="F38" s="31"/>
    </row>
    <row r="39" customFormat="false" ht="15" hidden="false" customHeight="false" outlineLevel="0" collapsed="false">
      <c r="A39" s="30"/>
      <c r="B39" s="23"/>
      <c r="C39" s="23"/>
      <c r="D39" s="23"/>
      <c r="E39" s="23"/>
      <c r="F39" s="31"/>
    </row>
    <row r="40" customFormat="false" ht="15" hidden="false" customHeight="false" outlineLevel="0" collapsed="false">
      <c r="A40" s="30"/>
      <c r="B40" s="23"/>
      <c r="C40" s="23"/>
      <c r="D40" s="23"/>
      <c r="E40" s="23"/>
      <c r="F40" s="31"/>
    </row>
    <row r="41" customFormat="false" ht="15" hidden="false" customHeight="false" outlineLevel="0" collapsed="false">
      <c r="A41" s="30"/>
      <c r="B41" s="23"/>
      <c r="C41" s="23"/>
      <c r="D41" s="23"/>
      <c r="E41" s="23"/>
      <c r="F41" s="31"/>
    </row>
    <row r="42" customFormat="false" ht="15" hidden="false" customHeight="false" outlineLevel="0" collapsed="false">
      <c r="A42" s="30"/>
      <c r="B42" s="23"/>
      <c r="C42" s="23"/>
      <c r="D42" s="23"/>
      <c r="E42" s="23"/>
      <c r="F42" s="31"/>
    </row>
    <row r="43" customFormat="false" ht="15" hidden="false" customHeight="false" outlineLevel="0" collapsed="false">
      <c r="A43" s="30"/>
      <c r="B43" s="23"/>
      <c r="C43" s="23"/>
      <c r="D43" s="23"/>
      <c r="E43" s="23"/>
      <c r="F43" s="31"/>
    </row>
    <row r="44" customFormat="false" ht="15" hidden="false" customHeight="false" outlineLevel="0" collapsed="false">
      <c r="A44" s="30"/>
      <c r="B44" s="23"/>
      <c r="C44" s="23"/>
      <c r="D44" s="23"/>
      <c r="E44" s="23"/>
      <c r="F44" s="31"/>
    </row>
    <row r="45" customFormat="false" ht="15" hidden="false" customHeight="false" outlineLevel="0" collapsed="false">
      <c r="A45" s="30"/>
      <c r="B45" s="23"/>
      <c r="C45" s="23"/>
      <c r="D45" s="23"/>
      <c r="E45" s="23"/>
      <c r="F45" s="31"/>
    </row>
    <row r="46" customFormat="false" ht="15" hidden="false" customHeight="false" outlineLevel="0" collapsed="false">
      <c r="A46" s="30"/>
      <c r="B46" s="23"/>
      <c r="C46" s="23"/>
      <c r="D46" s="23"/>
      <c r="E46" s="23"/>
      <c r="F46" s="31"/>
    </row>
    <row r="47" customFormat="false" ht="15" hidden="false" customHeight="false" outlineLevel="0" collapsed="false">
      <c r="A47" s="30"/>
      <c r="B47" s="23"/>
      <c r="C47" s="23"/>
      <c r="D47" s="23"/>
      <c r="E47" s="23"/>
      <c r="F47" s="31"/>
    </row>
    <row r="48" customFormat="false" ht="15" hidden="false" customHeight="false" outlineLevel="0" collapsed="false">
      <c r="A48" s="30"/>
      <c r="B48" s="23"/>
      <c r="C48" s="23"/>
      <c r="D48" s="23"/>
      <c r="E48" s="23"/>
      <c r="F48" s="31"/>
    </row>
    <row r="49" customFormat="false" ht="15" hidden="false" customHeight="false" outlineLevel="0" collapsed="false">
      <c r="A49" s="30"/>
      <c r="B49" s="23"/>
      <c r="C49" s="23"/>
      <c r="D49" s="23"/>
      <c r="E49" s="23"/>
      <c r="F49" s="31"/>
    </row>
    <row r="50" customFormat="false" ht="15" hidden="false" customHeight="false" outlineLevel="0" collapsed="false">
      <c r="A50" s="30"/>
      <c r="B50" s="23"/>
      <c r="C50" s="23"/>
      <c r="D50" s="23"/>
      <c r="E50" s="23"/>
      <c r="F50" s="31"/>
    </row>
    <row r="51" customFormat="false" ht="15" hidden="false" customHeight="false" outlineLevel="0" collapsed="false">
      <c r="A51" s="30"/>
      <c r="B51" s="23"/>
      <c r="C51" s="23"/>
      <c r="D51" s="23"/>
      <c r="E51" s="23"/>
      <c r="F51" s="31"/>
    </row>
    <row r="52" customFormat="false" ht="15" hidden="false" customHeight="false" outlineLevel="0" collapsed="false">
      <c r="A52" s="30"/>
      <c r="B52" s="23"/>
      <c r="C52" s="23"/>
      <c r="D52" s="23"/>
      <c r="E52" s="23"/>
      <c r="F52" s="31"/>
    </row>
    <row r="53" customFormat="false" ht="15" hidden="false" customHeight="false" outlineLevel="0" collapsed="false">
      <c r="A53" s="30"/>
      <c r="B53" s="23"/>
      <c r="C53" s="23"/>
      <c r="D53" s="23"/>
      <c r="E53" s="23"/>
      <c r="F53" s="31"/>
    </row>
    <row r="54" customFormat="false" ht="15" hidden="false" customHeight="false" outlineLevel="0" collapsed="false">
      <c r="A54" s="30"/>
      <c r="B54" s="23"/>
      <c r="C54" s="23"/>
      <c r="D54" s="23"/>
      <c r="E54" s="23"/>
      <c r="F54" s="31"/>
    </row>
    <row r="55" customFormat="false" ht="15" hidden="false" customHeight="false" outlineLevel="0" collapsed="false">
      <c r="A55" s="30"/>
      <c r="B55" s="23"/>
      <c r="C55" s="23"/>
      <c r="D55" s="23"/>
      <c r="E55" s="23"/>
      <c r="F55" s="31"/>
    </row>
    <row r="56" customFormat="false" ht="15" hidden="false" customHeight="false" outlineLevel="0" collapsed="false">
      <c r="A56" s="30"/>
      <c r="B56" s="23"/>
      <c r="C56" s="23"/>
      <c r="D56" s="23"/>
      <c r="E56" s="23"/>
      <c r="F56" s="31"/>
    </row>
    <row r="57" customFormat="false" ht="15" hidden="false" customHeight="false" outlineLevel="0" collapsed="false">
      <c r="A57" s="30"/>
      <c r="B57" s="23"/>
      <c r="C57" s="23"/>
      <c r="D57" s="23"/>
      <c r="E57" s="23"/>
      <c r="F57" s="31"/>
    </row>
    <row r="58" customFormat="false" ht="15" hidden="false" customHeight="false" outlineLevel="0" collapsed="false">
      <c r="A58" s="30"/>
      <c r="B58" s="23"/>
      <c r="C58" s="23"/>
      <c r="D58" s="23"/>
      <c r="E58" s="23"/>
      <c r="F58" s="31"/>
    </row>
    <row r="59" customFormat="false" ht="15" hidden="false" customHeight="false" outlineLevel="0" collapsed="false">
      <c r="A59" s="30"/>
      <c r="B59" s="23"/>
      <c r="C59" s="23"/>
      <c r="D59" s="23"/>
      <c r="E59" s="23"/>
      <c r="F59" s="31"/>
    </row>
    <row r="60" customFormat="false" ht="15" hidden="false" customHeight="false" outlineLevel="0" collapsed="false">
      <c r="A60" s="30"/>
      <c r="B60" s="23"/>
      <c r="C60" s="23"/>
      <c r="D60" s="23"/>
      <c r="E60" s="23"/>
      <c r="F60" s="31"/>
    </row>
    <row r="61" customFormat="false" ht="15" hidden="false" customHeight="false" outlineLevel="0" collapsed="false">
      <c r="A61" s="30"/>
      <c r="B61" s="23"/>
      <c r="C61" s="23"/>
      <c r="D61" s="23"/>
      <c r="E61" s="23"/>
      <c r="F61" s="31"/>
    </row>
    <row r="62" customFormat="false" ht="15" hidden="false" customHeight="false" outlineLevel="0" collapsed="false">
      <c r="A62" s="30"/>
      <c r="B62" s="23"/>
      <c r="C62" s="23"/>
      <c r="D62" s="23"/>
      <c r="E62" s="23"/>
      <c r="F62" s="31"/>
    </row>
    <row r="63" customFormat="false" ht="15" hidden="false" customHeight="false" outlineLevel="0" collapsed="false">
      <c r="A63" s="30"/>
      <c r="B63" s="23"/>
      <c r="C63" s="23"/>
      <c r="D63" s="23"/>
      <c r="E63" s="23"/>
      <c r="F63" s="31"/>
    </row>
    <row r="64" customFormat="false" ht="15" hidden="false" customHeight="false" outlineLevel="0" collapsed="false">
      <c r="A64" s="30"/>
      <c r="B64" s="23"/>
      <c r="C64" s="23"/>
      <c r="D64" s="23"/>
      <c r="E64" s="23"/>
      <c r="F64" s="31"/>
    </row>
    <row r="65" customFormat="false" ht="15" hidden="false" customHeight="false" outlineLevel="0" collapsed="false">
      <c r="A65" s="30"/>
      <c r="B65" s="23"/>
      <c r="C65" s="23"/>
      <c r="D65" s="23"/>
      <c r="E65" s="23"/>
      <c r="F65" s="31"/>
    </row>
    <row r="66" customFormat="false" ht="15" hidden="false" customHeight="false" outlineLevel="0" collapsed="false">
      <c r="A66" s="30"/>
      <c r="B66" s="23"/>
      <c r="C66" s="23"/>
      <c r="D66" s="23"/>
      <c r="E66" s="23"/>
      <c r="F66" s="31"/>
    </row>
    <row r="67" customFormat="false" ht="15" hidden="false" customHeight="false" outlineLevel="0" collapsed="false">
      <c r="A67" s="30"/>
      <c r="B67" s="23"/>
      <c r="C67" s="23"/>
      <c r="D67" s="23"/>
      <c r="E67" s="23"/>
      <c r="F67" s="31"/>
    </row>
    <row r="68" customFormat="false" ht="15" hidden="false" customHeight="false" outlineLevel="0" collapsed="false">
      <c r="A68" s="30"/>
      <c r="B68" s="23"/>
      <c r="C68" s="23"/>
      <c r="D68" s="23"/>
      <c r="E68" s="23"/>
      <c r="F68" s="31"/>
    </row>
    <row r="69" customFormat="false" ht="15" hidden="false" customHeight="false" outlineLevel="0" collapsed="false">
      <c r="A69" s="30"/>
      <c r="B69" s="23"/>
      <c r="C69" s="23"/>
      <c r="D69" s="23"/>
      <c r="E69" s="23"/>
      <c r="F69" s="31"/>
    </row>
    <row r="70" customFormat="false" ht="15" hidden="false" customHeight="false" outlineLevel="0" collapsed="false">
      <c r="A70" s="30"/>
      <c r="B70" s="23"/>
      <c r="C70" s="23"/>
      <c r="D70" s="23"/>
      <c r="E70" s="23"/>
      <c r="F70" s="31"/>
    </row>
    <row r="71" customFormat="false" ht="15" hidden="false" customHeight="false" outlineLevel="0" collapsed="false">
      <c r="A71" s="30"/>
      <c r="B71" s="23"/>
      <c r="C71" s="23"/>
      <c r="D71" s="23"/>
      <c r="E71" s="23"/>
      <c r="F71" s="31"/>
    </row>
    <row r="72" customFormat="false" ht="15" hidden="false" customHeight="false" outlineLevel="0" collapsed="false">
      <c r="A72" s="30"/>
      <c r="B72" s="23"/>
      <c r="C72" s="23"/>
      <c r="D72" s="23"/>
      <c r="E72" s="23"/>
      <c r="F72" s="31"/>
    </row>
    <row r="73" customFormat="false" ht="15" hidden="false" customHeight="false" outlineLevel="0" collapsed="false">
      <c r="A73" s="30"/>
      <c r="B73" s="23"/>
      <c r="C73" s="23"/>
      <c r="D73" s="23"/>
      <c r="E73" s="23"/>
      <c r="F73" s="31"/>
    </row>
    <row r="74" customFormat="false" ht="15" hidden="false" customHeight="false" outlineLevel="0" collapsed="false">
      <c r="A74" s="30"/>
      <c r="B74" s="23"/>
      <c r="C74" s="23"/>
      <c r="D74" s="23"/>
      <c r="E74" s="23"/>
      <c r="F74" s="31"/>
    </row>
    <row r="75" customFormat="false" ht="15" hidden="false" customHeight="false" outlineLevel="0" collapsed="false">
      <c r="A75" s="30"/>
      <c r="B75" s="23"/>
      <c r="C75" s="23"/>
      <c r="D75" s="23"/>
      <c r="E75" s="23"/>
      <c r="F75" s="31"/>
    </row>
    <row r="76" customFormat="false" ht="15" hidden="false" customHeight="false" outlineLevel="0" collapsed="false">
      <c r="A76" s="30"/>
      <c r="B76" s="23"/>
      <c r="C76" s="23"/>
      <c r="D76" s="23"/>
      <c r="E76" s="23"/>
      <c r="F76" s="31"/>
    </row>
    <row r="77" customFormat="false" ht="15" hidden="false" customHeight="false" outlineLevel="0" collapsed="false">
      <c r="A77" s="30"/>
      <c r="B77" s="23"/>
      <c r="C77" s="23"/>
      <c r="D77" s="23"/>
      <c r="E77" s="23"/>
      <c r="F77" s="31"/>
    </row>
    <row r="78" customFormat="false" ht="15" hidden="false" customHeight="false" outlineLevel="0" collapsed="false">
      <c r="A78" s="30"/>
      <c r="B78" s="23"/>
      <c r="C78" s="23"/>
      <c r="D78" s="23"/>
      <c r="E78" s="23"/>
      <c r="F78" s="31"/>
    </row>
    <row r="79" customFormat="false" ht="15" hidden="false" customHeight="false" outlineLevel="0" collapsed="false">
      <c r="A79" s="30"/>
      <c r="B79" s="23"/>
      <c r="C79" s="23"/>
      <c r="D79" s="23"/>
      <c r="E79" s="23"/>
      <c r="F79" s="31"/>
    </row>
    <row r="80" customFormat="false" ht="15" hidden="false" customHeight="false" outlineLevel="0" collapsed="false">
      <c r="A80" s="30"/>
      <c r="B80" s="23"/>
      <c r="C80" s="23"/>
      <c r="D80" s="23"/>
      <c r="E80" s="23"/>
      <c r="F80" s="31"/>
    </row>
    <row r="81" customFormat="false" ht="15" hidden="false" customHeight="false" outlineLevel="0" collapsed="false">
      <c r="A81" s="30"/>
      <c r="B81" s="23"/>
      <c r="C81" s="23"/>
      <c r="D81" s="23"/>
      <c r="E81" s="23"/>
      <c r="F81" s="31"/>
    </row>
    <row r="82" customFormat="false" ht="15" hidden="false" customHeight="false" outlineLevel="0" collapsed="false">
      <c r="A82" s="30"/>
      <c r="B82" s="23"/>
      <c r="C82" s="23"/>
      <c r="D82" s="23"/>
      <c r="E82" s="23"/>
      <c r="F82" s="31"/>
    </row>
    <row r="83" customFormat="false" ht="15" hidden="false" customHeight="false" outlineLevel="0" collapsed="false">
      <c r="A83" s="30"/>
      <c r="B83" s="23"/>
      <c r="C83" s="23"/>
      <c r="D83" s="23"/>
      <c r="E83" s="23"/>
      <c r="F83" s="31"/>
    </row>
    <row r="84" customFormat="false" ht="15" hidden="false" customHeight="false" outlineLevel="0" collapsed="false">
      <c r="A84" s="30"/>
      <c r="B84" s="23"/>
      <c r="C84" s="23"/>
      <c r="D84" s="23"/>
      <c r="E84" s="23"/>
      <c r="F84" s="31"/>
    </row>
    <row r="85" customFormat="false" ht="15" hidden="false" customHeight="false" outlineLevel="0" collapsed="false">
      <c r="A85" s="30"/>
      <c r="B85" s="23"/>
      <c r="C85" s="23"/>
      <c r="D85" s="23"/>
      <c r="E85" s="23"/>
      <c r="F85" s="31"/>
    </row>
    <row r="86" customFormat="false" ht="15" hidden="false" customHeight="false" outlineLevel="0" collapsed="false">
      <c r="A86" s="30"/>
      <c r="B86" s="23"/>
      <c r="C86" s="23"/>
      <c r="D86" s="23"/>
      <c r="E86" s="23"/>
      <c r="F86" s="31"/>
    </row>
    <row r="87" customFormat="false" ht="15" hidden="false" customHeight="false" outlineLevel="0" collapsed="false">
      <c r="A87" s="30"/>
      <c r="B87" s="23"/>
      <c r="C87" s="23"/>
      <c r="D87" s="23"/>
      <c r="E87" s="23"/>
      <c r="F87" s="31"/>
    </row>
    <row r="88" customFormat="false" ht="15" hidden="false" customHeight="false" outlineLevel="0" collapsed="false">
      <c r="A88" s="30"/>
      <c r="B88" s="23"/>
      <c r="C88" s="23"/>
      <c r="D88" s="23"/>
      <c r="E88" s="23"/>
      <c r="F88" s="31"/>
    </row>
    <row r="89" customFormat="false" ht="15" hidden="false" customHeight="false" outlineLevel="0" collapsed="false">
      <c r="A89" s="30"/>
      <c r="B89" s="23"/>
      <c r="C89" s="23"/>
      <c r="D89" s="23"/>
      <c r="E89" s="23"/>
      <c r="F89" s="31"/>
    </row>
    <row r="90" customFormat="false" ht="15" hidden="false" customHeight="false" outlineLevel="0" collapsed="false">
      <c r="A90" s="30"/>
      <c r="B90" s="23"/>
      <c r="C90" s="23"/>
      <c r="D90" s="23"/>
      <c r="E90" s="23"/>
      <c r="F90" s="31"/>
    </row>
    <row r="91" customFormat="false" ht="15" hidden="false" customHeight="false" outlineLevel="0" collapsed="false">
      <c r="A91" s="30"/>
      <c r="B91" s="23"/>
      <c r="C91" s="23"/>
      <c r="D91" s="23"/>
      <c r="E91" s="23"/>
      <c r="F91" s="31"/>
    </row>
    <row r="92" customFormat="false" ht="15" hidden="false" customHeight="false" outlineLevel="0" collapsed="false">
      <c r="A92" s="30"/>
      <c r="B92" s="23"/>
      <c r="C92" s="23"/>
      <c r="D92" s="23"/>
      <c r="E92" s="23"/>
      <c r="F92" s="31"/>
    </row>
    <row r="93" customFormat="false" ht="15" hidden="false" customHeight="false" outlineLevel="0" collapsed="false">
      <c r="A93" s="30"/>
      <c r="B93" s="23"/>
      <c r="C93" s="23"/>
      <c r="D93" s="23"/>
      <c r="E93" s="23"/>
      <c r="F93" s="31"/>
    </row>
    <row r="94" customFormat="false" ht="15" hidden="false" customHeight="false" outlineLevel="0" collapsed="false">
      <c r="A94" s="30"/>
      <c r="B94" s="23"/>
      <c r="C94" s="23"/>
      <c r="D94" s="23"/>
      <c r="E94" s="23"/>
      <c r="F94" s="31"/>
    </row>
    <row r="95" customFormat="false" ht="15" hidden="false" customHeight="false" outlineLevel="0" collapsed="false">
      <c r="A95" s="30"/>
      <c r="B95" s="23"/>
      <c r="C95" s="23"/>
      <c r="D95" s="23"/>
      <c r="E95" s="23"/>
      <c r="F95" s="31"/>
    </row>
    <row r="96" customFormat="false" ht="15" hidden="false" customHeight="false" outlineLevel="0" collapsed="false">
      <c r="A96" s="30"/>
      <c r="B96" s="23"/>
      <c r="C96" s="23"/>
      <c r="D96" s="23"/>
      <c r="E96" s="23"/>
      <c r="F96" s="31"/>
    </row>
    <row r="97" customFormat="false" ht="15" hidden="false" customHeight="false" outlineLevel="0" collapsed="false">
      <c r="A97" s="30"/>
      <c r="B97" s="23"/>
      <c r="C97" s="23"/>
      <c r="D97" s="23"/>
      <c r="E97" s="23"/>
      <c r="F97" s="31"/>
    </row>
    <row r="98" customFormat="false" ht="15" hidden="false" customHeight="false" outlineLevel="0" collapsed="false">
      <c r="A98" s="30"/>
      <c r="B98" s="23"/>
      <c r="C98" s="23"/>
      <c r="D98" s="23"/>
      <c r="E98" s="23"/>
      <c r="F98" s="31"/>
    </row>
    <row r="99" customFormat="false" ht="15" hidden="false" customHeight="false" outlineLevel="0" collapsed="false">
      <c r="A99" s="30"/>
      <c r="B99" s="23"/>
      <c r="C99" s="23"/>
      <c r="D99" s="23"/>
      <c r="E99" s="23"/>
      <c r="F99" s="31"/>
    </row>
    <row r="100" customFormat="false" ht="15" hidden="false" customHeight="false" outlineLevel="0" collapsed="false">
      <c r="A100" s="30"/>
      <c r="B100" s="23"/>
      <c r="C100" s="23"/>
      <c r="D100" s="23"/>
      <c r="E100" s="23"/>
      <c r="F100" s="31"/>
    </row>
    <row r="101" customFormat="false" ht="15" hidden="false" customHeight="false" outlineLevel="0" collapsed="false">
      <c r="A101" s="30"/>
      <c r="B101" s="23"/>
      <c r="C101" s="23"/>
      <c r="D101" s="23"/>
      <c r="E101" s="23"/>
      <c r="F101" s="31"/>
    </row>
    <row r="102" customFormat="false" ht="15" hidden="false" customHeight="false" outlineLevel="0" collapsed="false">
      <c r="A102" s="30"/>
      <c r="B102" s="23"/>
      <c r="C102" s="23"/>
      <c r="D102" s="23"/>
      <c r="E102" s="23"/>
      <c r="F102" s="31"/>
    </row>
    <row r="103" customFormat="false" ht="15" hidden="false" customHeight="false" outlineLevel="0" collapsed="false">
      <c r="A103" s="30"/>
      <c r="B103" s="23"/>
      <c r="C103" s="23"/>
      <c r="D103" s="23"/>
      <c r="E103" s="23"/>
      <c r="F103" s="31"/>
    </row>
    <row r="104" customFormat="false" ht="15" hidden="false" customHeight="false" outlineLevel="0" collapsed="false">
      <c r="A104" s="30"/>
      <c r="B104" s="23"/>
      <c r="C104" s="23"/>
      <c r="D104" s="23"/>
      <c r="E104" s="23"/>
      <c r="F104" s="31"/>
    </row>
    <row r="105" customFormat="false" ht="15" hidden="false" customHeight="false" outlineLevel="0" collapsed="false">
      <c r="A105" s="30"/>
      <c r="B105" s="23"/>
      <c r="C105" s="23"/>
      <c r="D105" s="23"/>
      <c r="E105" s="23"/>
      <c r="F105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2026-10-07T09:50:57Z</dcterms:created>
  <dc:creator>openpyxl</dc:creator>
  <dc:description/>
  <dc:language>en-US</dc:language>
  <cp:lastModifiedBy/>
  <dcterms:modified xsi:type="dcterms:W3CDTF">2026-10-07T09:51:00Z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