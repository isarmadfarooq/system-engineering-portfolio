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ayyabr\Desktop\Presales-Working-August-2026-Onwards\PRAL\PRAL-RFP-September-26\Hardware Sizing\Server\"/>
    </mc:Choice>
  </mc:AlternateContent>
  <xr:revisionPtr revIDLastSave="0" documentId="8_{1CD80B02-C5E9-49EB-9075-A2B52817BB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rutal HW PR" sheetId="3" r:id="rId1"/>
    <sheet name="Virutal HW DR" sheetId="4" r:id="rId2"/>
    <sheet name="Cores Working for Redhat" sheetId="5" r:id="rId3"/>
  </sheets>
  <definedNames>
    <definedName name="_xlnm._FilterDatabase" localSheetId="1" hidden="1">'Virutal HW DR'!$B$4:$F$39</definedName>
    <definedName name="_xlnm._FilterDatabase" localSheetId="0" hidden="1">'Virutal HW PR'!$B$4:$F$39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6" i="3" l="1"/>
  <c r="AE21" i="4"/>
  <c r="AE20" i="4"/>
  <c r="E14" i="5"/>
  <c r="E8" i="5"/>
  <c r="AD21" i="4"/>
  <c r="AD20" i="4"/>
  <c r="AD19" i="4"/>
  <c r="AE19" i="4"/>
  <c r="AB10" i="4"/>
  <c r="AB9" i="4"/>
  <c r="AB8" i="4"/>
  <c r="V48" i="3"/>
  <c r="V47" i="3"/>
  <c r="Y21" i="3"/>
  <c r="Y20" i="3"/>
  <c r="Y19" i="3"/>
  <c r="X21" i="3"/>
  <c r="X20" i="3"/>
  <c r="X19" i="3"/>
  <c r="V10" i="3"/>
  <c r="V9" i="3"/>
  <c r="V8" i="3"/>
  <c r="AA29" i="4"/>
  <c r="Z29" i="4"/>
  <c r="AA28" i="4"/>
  <c r="Z28" i="4"/>
  <c r="AA27" i="4"/>
  <c r="Z27" i="4"/>
  <c r="T28" i="4"/>
  <c r="T27" i="4"/>
  <c r="T23" i="4"/>
  <c r="T24" i="4"/>
  <c r="T25" i="4"/>
  <c r="T26" i="4"/>
  <c r="Z22" i="4"/>
  <c r="AA21" i="4"/>
  <c r="Z21" i="4"/>
  <c r="AA20" i="4"/>
  <c r="Z20" i="4"/>
  <c r="J13" i="4"/>
  <c r="J14" i="4"/>
  <c r="J15" i="4"/>
  <c r="J16" i="4"/>
  <c r="J17" i="4"/>
  <c r="J18" i="4"/>
  <c r="J19" i="4"/>
  <c r="J5" i="4"/>
  <c r="AA10" i="4"/>
  <c r="Z10" i="4"/>
  <c r="AA9" i="4"/>
  <c r="Z9" i="4"/>
  <c r="AA8" i="4"/>
  <c r="Z8" i="4"/>
  <c r="K6" i="4"/>
  <c r="K5" i="4"/>
  <c r="J6" i="4"/>
  <c r="U5" i="4"/>
  <c r="U9" i="4" s="1"/>
  <c r="V5" i="4"/>
  <c r="V9" i="4" s="1"/>
  <c r="U6" i="4"/>
  <c r="V6" i="4"/>
  <c r="U7" i="4"/>
  <c r="V7" i="4"/>
  <c r="U8" i="4"/>
  <c r="V8" i="4"/>
  <c r="U12" i="4"/>
  <c r="V12" i="4"/>
  <c r="U13" i="4"/>
  <c r="V13" i="4"/>
  <c r="U14" i="4"/>
  <c r="V14" i="4"/>
  <c r="U15" i="4"/>
  <c r="V15" i="4"/>
  <c r="U16" i="4"/>
  <c r="V16" i="4"/>
  <c r="U17" i="4"/>
  <c r="V17" i="4"/>
  <c r="U18" i="4"/>
  <c r="V18" i="4"/>
  <c r="U19" i="4"/>
  <c r="V19" i="4"/>
  <c r="U22" i="4"/>
  <c r="V22" i="4"/>
  <c r="U23" i="4"/>
  <c r="V23" i="4"/>
  <c r="U24" i="4"/>
  <c r="V24" i="4"/>
  <c r="U34" i="4"/>
  <c r="V34" i="4"/>
  <c r="U35" i="4"/>
  <c r="V35" i="4"/>
  <c r="U36" i="4"/>
  <c r="V36" i="4"/>
  <c r="U37" i="4"/>
  <c r="V37" i="4"/>
  <c r="U38" i="4"/>
  <c r="V38" i="4"/>
  <c r="U39" i="4"/>
  <c r="V39" i="4"/>
  <c r="U40" i="4"/>
  <c r="V40" i="4"/>
  <c r="U41" i="4"/>
  <c r="V41" i="4"/>
  <c r="U42" i="4"/>
  <c r="V42" i="4"/>
  <c r="U43" i="4"/>
  <c r="V43" i="4"/>
  <c r="U47" i="3"/>
  <c r="T47" i="3"/>
  <c r="U48" i="3"/>
  <c r="O45" i="3"/>
  <c r="U46" i="3"/>
  <c r="T46" i="3"/>
  <c r="U28" i="3"/>
  <c r="T28" i="3"/>
  <c r="T29" i="3"/>
  <c r="U29" i="3" s="1"/>
  <c r="U27" i="3"/>
  <c r="T27" i="3"/>
  <c r="U21" i="3"/>
  <c r="T21" i="3"/>
  <c r="U20" i="3"/>
  <c r="T20" i="3"/>
  <c r="U8" i="3"/>
  <c r="T9" i="3"/>
  <c r="T8" i="3"/>
  <c r="S46" i="4"/>
  <c r="H45" i="4"/>
  <c r="S43" i="4"/>
  <c r="S42" i="4"/>
  <c r="S41" i="4"/>
  <c r="S40" i="4"/>
  <c r="S39" i="4"/>
  <c r="S38" i="4"/>
  <c r="S37" i="4"/>
  <c r="S36" i="4"/>
  <c r="S35" i="4"/>
  <c r="S34" i="4"/>
  <c r="S30" i="4"/>
  <c r="S28" i="4"/>
  <c r="K27" i="4"/>
  <c r="J27" i="4"/>
  <c r="H27" i="4"/>
  <c r="S26" i="4"/>
  <c r="S25" i="4"/>
  <c r="S24" i="4"/>
  <c r="S23" i="4"/>
  <c r="S22" i="4"/>
  <c r="T22" i="4" s="1"/>
  <c r="S21" i="4"/>
  <c r="H20" i="4"/>
  <c r="S19" i="4"/>
  <c r="T19" i="4" s="1"/>
  <c r="S18" i="4"/>
  <c r="T18" i="4" s="1"/>
  <c r="S17" i="4"/>
  <c r="T17" i="4" s="1"/>
  <c r="S16" i="4"/>
  <c r="T16" i="4" s="1"/>
  <c r="S15" i="4"/>
  <c r="T15" i="4" s="1"/>
  <c r="S14" i="4"/>
  <c r="T14" i="4" s="1"/>
  <c r="K14" i="4"/>
  <c r="S13" i="4"/>
  <c r="K13" i="4"/>
  <c r="S12" i="4"/>
  <c r="T12" i="4" s="1"/>
  <c r="J12" i="4"/>
  <c r="J20" i="4" s="1"/>
  <c r="S10" i="4"/>
  <c r="H9" i="4"/>
  <c r="S8" i="4"/>
  <c r="K8" i="4"/>
  <c r="J8" i="4"/>
  <c r="S7" i="4"/>
  <c r="T7" i="4" s="1"/>
  <c r="K7" i="4"/>
  <c r="J7" i="4"/>
  <c r="S6" i="4"/>
  <c r="T6" i="4" s="1"/>
  <c r="S5" i="4"/>
  <c r="T5" i="4" s="1"/>
  <c r="U9" i="3"/>
  <c r="Q6" i="3"/>
  <c r="N26" i="3"/>
  <c r="O26" i="3" s="1"/>
  <c r="N25" i="3"/>
  <c r="O25" i="3" s="1"/>
  <c r="O41" i="3"/>
  <c r="O44" i="3"/>
  <c r="N43" i="3"/>
  <c r="O43" i="3" s="1"/>
  <c r="Q43" i="3"/>
  <c r="P43" i="3"/>
  <c r="G45" i="3"/>
  <c r="N46" i="3"/>
  <c r="G27" i="3"/>
  <c r="Q24" i="3"/>
  <c r="P24" i="3"/>
  <c r="N24" i="3"/>
  <c r="O24" i="3" s="1"/>
  <c r="Q23" i="3"/>
  <c r="P23" i="3"/>
  <c r="N23" i="3"/>
  <c r="O23" i="3" s="1"/>
  <c r="Q22" i="3"/>
  <c r="P22" i="3"/>
  <c r="N22" i="3"/>
  <c r="O22" i="3" s="1"/>
  <c r="Q42" i="3"/>
  <c r="P42" i="3"/>
  <c r="N42" i="3"/>
  <c r="O42" i="3" s="1"/>
  <c r="Q41" i="3"/>
  <c r="P41" i="3"/>
  <c r="N41" i="3"/>
  <c r="Q40" i="3"/>
  <c r="P40" i="3"/>
  <c r="N40" i="3"/>
  <c r="O40" i="3" s="1"/>
  <c r="Q39" i="3"/>
  <c r="P39" i="3"/>
  <c r="N39" i="3"/>
  <c r="O39" i="3" s="1"/>
  <c r="Q38" i="3"/>
  <c r="P38" i="3"/>
  <c r="N38" i="3"/>
  <c r="O38" i="3" s="1"/>
  <c r="Q37" i="3"/>
  <c r="P37" i="3"/>
  <c r="N37" i="3"/>
  <c r="O37" i="3" s="1"/>
  <c r="Q36" i="3"/>
  <c r="P36" i="3"/>
  <c r="N36" i="3"/>
  <c r="O36" i="3" s="1"/>
  <c r="Q35" i="3"/>
  <c r="P35" i="3"/>
  <c r="N35" i="3"/>
  <c r="O35" i="3" s="1"/>
  <c r="Q34" i="3"/>
  <c r="P34" i="3"/>
  <c r="N34" i="3"/>
  <c r="O34" i="3" s="1"/>
  <c r="N30" i="3"/>
  <c r="N28" i="3"/>
  <c r="N21" i="3"/>
  <c r="G20" i="3"/>
  <c r="Q19" i="3"/>
  <c r="P19" i="3"/>
  <c r="N19" i="3"/>
  <c r="O19" i="3" s="1"/>
  <c r="Q18" i="3"/>
  <c r="P18" i="3"/>
  <c r="N18" i="3"/>
  <c r="O18" i="3" s="1"/>
  <c r="Q17" i="3"/>
  <c r="P17" i="3"/>
  <c r="N17" i="3"/>
  <c r="Q16" i="3"/>
  <c r="P16" i="3"/>
  <c r="N16" i="3"/>
  <c r="O16" i="3" s="1"/>
  <c r="Q15" i="3"/>
  <c r="P15" i="3"/>
  <c r="N15" i="3"/>
  <c r="O15" i="3" s="1"/>
  <c r="Q14" i="3"/>
  <c r="P14" i="3"/>
  <c r="N14" i="3"/>
  <c r="O14" i="3" s="1"/>
  <c r="Q13" i="3"/>
  <c r="P13" i="3"/>
  <c r="N13" i="3"/>
  <c r="O13" i="3" s="1"/>
  <c r="Q12" i="3"/>
  <c r="P12" i="3"/>
  <c r="N12" i="3"/>
  <c r="O12" i="3" s="1"/>
  <c r="N10" i="3"/>
  <c r="G9" i="3"/>
  <c r="Q8" i="3"/>
  <c r="P8" i="3"/>
  <c r="N8" i="3"/>
  <c r="O8" i="3" s="1"/>
  <c r="Q7" i="3"/>
  <c r="P7" i="3"/>
  <c r="N7" i="3"/>
  <c r="O7" i="3" s="1"/>
  <c r="P6" i="3"/>
  <c r="N6" i="3"/>
  <c r="O6" i="3" s="1"/>
  <c r="Q5" i="3"/>
  <c r="P5" i="3"/>
  <c r="N5" i="3"/>
  <c r="O5" i="3" s="1"/>
  <c r="U45" i="4" l="1"/>
  <c r="U20" i="4"/>
  <c r="V45" i="4"/>
  <c r="V27" i="4"/>
  <c r="V20" i="4"/>
  <c r="U27" i="4"/>
  <c r="S27" i="4"/>
  <c r="W27" i="4" s="1"/>
  <c r="J9" i="4"/>
  <c r="K9" i="4"/>
  <c r="W9" i="4"/>
  <c r="O46" i="3"/>
  <c r="T48" i="3" s="1"/>
  <c r="O17" i="3"/>
  <c r="O20" i="3" s="1"/>
  <c r="O21" i="3" s="1"/>
  <c r="T22" i="3" s="1"/>
  <c r="U22" i="3" s="1"/>
  <c r="S20" i="4"/>
  <c r="W20" i="4" s="1"/>
  <c r="S45" i="4"/>
  <c r="W45" i="4" s="1"/>
  <c r="T13" i="4"/>
  <c r="T20" i="4" s="1"/>
  <c r="T21" i="4" s="1"/>
  <c r="AA22" i="4" s="1"/>
  <c r="T8" i="4"/>
  <c r="K12" i="4"/>
  <c r="K20" i="4" s="1"/>
  <c r="O27" i="3"/>
  <c r="O28" i="3" s="1"/>
  <c r="O9" i="3"/>
  <c r="O10" i="3" s="1"/>
  <c r="T10" i="3" s="1"/>
  <c r="U10" i="3" s="1"/>
  <c r="P45" i="3"/>
  <c r="Q45" i="3"/>
  <c r="N45" i="3"/>
  <c r="R45" i="3" s="1"/>
  <c r="N27" i="3"/>
  <c r="R27" i="3" s="1"/>
  <c r="P20" i="3"/>
  <c r="N20" i="3"/>
  <c r="R20" i="3" s="1"/>
  <c r="Q27" i="3"/>
  <c r="N9" i="3"/>
  <c r="R9" i="3" s="1"/>
  <c r="P9" i="3"/>
  <c r="Q9" i="3"/>
  <c r="Q20" i="3"/>
  <c r="P27" i="3"/>
  <c r="T9" i="4" l="1"/>
  <c r="T10" i="4" s="1"/>
</calcChain>
</file>

<file path=xl/sharedStrings.xml><?xml version="1.0" encoding="utf-8"?>
<sst xmlns="http://schemas.openxmlformats.org/spreadsheetml/2006/main" count="517" uniqueCount="124">
  <si>
    <t>Per Node</t>
  </si>
  <si>
    <t>Count</t>
  </si>
  <si>
    <t>Cores</t>
  </si>
  <si>
    <t>RAM</t>
  </si>
  <si>
    <t>OS HDD (TB)</t>
  </si>
  <si>
    <t>Data HDD (TB)</t>
  </si>
  <si>
    <t>Year 0</t>
  </si>
  <si>
    <t>Year 5</t>
  </si>
  <si>
    <t>RFP Group</t>
  </si>
  <si>
    <t>Environment</t>
  </si>
  <si>
    <t>Type</t>
  </si>
  <si>
    <t>Project SW</t>
  </si>
  <si>
    <t>Role</t>
  </si>
  <si>
    <t>DR</t>
  </si>
  <si>
    <t>NVMe (2 each)</t>
  </si>
  <si>
    <t>Qty</t>
  </si>
  <si>
    <t>Size</t>
  </si>
  <si>
    <t>Total</t>
  </si>
  <si>
    <t>ELT Processing</t>
  </si>
  <si>
    <t>Production</t>
  </si>
  <si>
    <t>Oracle ODI</t>
  </si>
  <si>
    <t>NVMe</t>
  </si>
  <si>
    <t>Streaming and AI/ML</t>
  </si>
  <si>
    <t>A</t>
  </si>
  <si>
    <t>Openshift | Cloudera</t>
  </si>
  <si>
    <t>Master / Controller Nodes (HA + Failover)</t>
  </si>
  <si>
    <t>B</t>
  </si>
  <si>
    <t>Worker Nodes</t>
  </si>
  <si>
    <t>C</t>
  </si>
  <si>
    <t xml:space="preserve">Streaming Platform Nodes </t>
  </si>
  <si>
    <t>D</t>
  </si>
  <si>
    <t>Utilities and Gateway Nodes</t>
  </si>
  <si>
    <t xml:space="preserve">Data Governance </t>
  </si>
  <si>
    <t>Collibra | Ataccama</t>
  </si>
  <si>
    <t>Data Governance Platform and Search Node</t>
  </si>
  <si>
    <t>Collibra | Ataccama | PostGres</t>
  </si>
  <si>
    <t>Metadata Repository Node (DB Backend)</t>
  </si>
  <si>
    <t>Monitoring Node</t>
  </si>
  <si>
    <t xml:space="preserve">Collibra | Ataccama </t>
  </si>
  <si>
    <t>Console and Web UI Node</t>
  </si>
  <si>
    <t>E</t>
  </si>
  <si>
    <t>Collibra | Ataccama| PostGres</t>
  </si>
  <si>
    <t>Job Server / Lineage Processing Node</t>
  </si>
  <si>
    <t xml:space="preserve">Security and Monitoring </t>
  </si>
  <si>
    <t>Redhat IdM | Red Hat Keycloak</t>
  </si>
  <si>
    <t>Dir Svcs, Kerberos KDC, KMS, Platform Mon</t>
  </si>
  <si>
    <t>In-Memory Cache</t>
  </si>
  <si>
    <t>Redis Enterprise</t>
  </si>
  <si>
    <t>In-Memory Cache w/ Data Partitioning</t>
  </si>
  <si>
    <t>Backup</t>
  </si>
  <si>
    <t>Backup SAN</t>
  </si>
  <si>
    <t>WORM Immutable SAN - PDF pg: 128</t>
  </si>
  <si>
    <t>??</t>
  </si>
  <si>
    <t>SSD</t>
  </si>
  <si>
    <t>Added</t>
  </si>
  <si>
    <t>BI Frontend Server</t>
  </si>
  <si>
    <t>Oracle Golden Gate</t>
  </si>
  <si>
    <t>CDC</t>
  </si>
  <si>
    <t>GitLab - Source Code Management</t>
  </si>
  <si>
    <t>Prod Code, Prod Configs etc</t>
  </si>
  <si>
    <t>Development</t>
  </si>
  <si>
    <t>Oracle ODI | Golden Gate</t>
  </si>
  <si>
    <t>ETL</t>
  </si>
  <si>
    <t>Master (No HA)</t>
  </si>
  <si>
    <t>Utility + Worker Nodes</t>
  </si>
  <si>
    <t>All Services - Single Node</t>
  </si>
  <si>
    <t>Single Node - All Services</t>
  </si>
  <si>
    <t>OAS | Tableau</t>
  </si>
  <si>
    <t>BI Development</t>
  </si>
  <si>
    <t xml:space="preserve">dev code + branches, </t>
  </si>
  <si>
    <t>Registry | Fleet Patching Provisioning</t>
  </si>
  <si>
    <t>Soruce Images Repository</t>
  </si>
  <si>
    <t>Grand Total</t>
  </si>
  <si>
    <t>Oracle Database</t>
  </si>
  <si>
    <t>Comodity Server</t>
  </si>
  <si>
    <t>Accumalated</t>
  </si>
  <si>
    <t>Total HDD (TB)</t>
  </si>
  <si>
    <t>Server Total</t>
  </si>
  <si>
    <t>Redhat IdM | Red Hat Keycloak | WSO2</t>
  </si>
  <si>
    <t>Dir Svcs, Kerberos KDC, KMS, Monitoring, API Mgmt</t>
  </si>
  <si>
    <t>Redis Enterprise (RFP Page: 94)</t>
  </si>
  <si>
    <t>Oracle Enterprise Manager</t>
  </si>
  <si>
    <t>Monitoring</t>
  </si>
  <si>
    <t>Oracle Key Vault server</t>
  </si>
  <si>
    <t>Security</t>
  </si>
  <si>
    <r>
      <t xml:space="preserve">Oracle OAS </t>
    </r>
    <r>
      <rPr>
        <sz val="10"/>
        <color theme="1"/>
        <rFont val="Calibri"/>
        <family val="2"/>
        <scheme val="minor"/>
      </rPr>
      <t>(Not included Tableau)</t>
    </r>
  </si>
  <si>
    <t>Actual</t>
  </si>
  <si>
    <t xml:space="preserve">Total </t>
  </si>
  <si>
    <t>RAM GB</t>
  </si>
  <si>
    <t>Storage TB</t>
  </si>
  <si>
    <t>960 GB M2+25G QUAD PORT</t>
  </si>
  <si>
    <t>Group-A</t>
  </si>
  <si>
    <t>Group-B</t>
  </si>
  <si>
    <t>Group-C</t>
  </si>
  <si>
    <t>HDD/TB</t>
  </si>
  <si>
    <t>Total Server</t>
  </si>
  <si>
    <t>DR (Group-A)</t>
  </si>
  <si>
    <t>PR (Group-B)</t>
  </si>
  <si>
    <t>PR (Group-C)</t>
  </si>
  <si>
    <t>DR (Group-B)</t>
  </si>
  <si>
    <t>DHCP/DNS/NTP</t>
  </si>
  <si>
    <t>Infra</t>
  </si>
  <si>
    <t>Total Storage Required</t>
  </si>
  <si>
    <t>DR Working</t>
  </si>
  <si>
    <t>DR (Group-C)</t>
  </si>
  <si>
    <t>Per Server Storage</t>
  </si>
  <si>
    <t>PR (Group-A) 11 Servers 2 X 48 Core Processor</t>
  </si>
  <si>
    <t>B+C 2 X 48 Core (4 Servers for B and C)</t>
  </si>
  <si>
    <t>Covered above</t>
  </si>
  <si>
    <t>PR (DEV) 2 X 48 Core Processor</t>
  </si>
  <si>
    <t>S.No</t>
  </si>
  <si>
    <t>Server Category</t>
  </si>
  <si>
    <t>No of Physical Servers</t>
  </si>
  <si>
    <t>Hardware Specifications Per Server</t>
  </si>
  <si>
    <t>Primary Site</t>
  </si>
  <si>
    <t>B &amp; C</t>
  </si>
  <si>
    <t>2 X 48 Core Processor, 1.5 TB RAM and 192 TB Storage</t>
  </si>
  <si>
    <t>2 X 48 Core Processor, 1 TB RAM and 126 TB Storage</t>
  </si>
  <si>
    <t>Test And Dev</t>
  </si>
  <si>
    <t>2 X 48 Core Processor, 1 TB RAM and 151 TB Storage</t>
  </si>
  <si>
    <t>Total Server Count</t>
  </si>
  <si>
    <t>DR Site</t>
  </si>
  <si>
    <t>2 X 48 Core Processor, 1.5 TB RAM and 204 TB Storage</t>
  </si>
  <si>
    <t>2 X 48 Core Processor, 1.5 TB RAM and 86 TB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</si>
</sst>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mbria"/>
      <family val="1"/>
    </font>
    <font>
      <sz val="11"/>
      <color theme="1"/>
      <name val="Cambria"/>
      <family val="1"/>
    </font>
    <font>
      <sz val="10"/>
      <color rgb="FF1F1F1F"/>
      <name val="Arial"/>
      <family val="2"/>
    </font>
    <font>
      <sz val="11"/>
      <name val="Cambria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4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24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18" xfId="0" applyBorder="1"/>
    <xf numFmtId="0" fontId="0" fillId="7" borderId="7" xfId="0" applyFill="1" applyBorder="1" applyAlignment="1">
      <alignment vertical="center"/>
    </xf>
    <xf numFmtId="0" fontId="1" fillId="7" borderId="8" xfId="0" applyFont="1" applyFill="1" applyBorder="1" applyAlignment="1">
      <alignment horizontal="right" vertical="center" wrapText="1"/>
    </xf>
    <xf numFmtId="0" fontId="0" fillId="7" borderId="11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25" xfId="0" applyFill="1" applyBorder="1" applyAlignment="1">
      <alignment vertical="center"/>
    </xf>
    <xf numFmtId="0" fontId="1" fillId="6" borderId="26" xfId="0" applyFont="1" applyFill="1" applyBorder="1" applyAlignment="1">
      <alignment horizontal="right" vertical="center" wrapText="1"/>
    </xf>
    <xf numFmtId="0" fontId="0" fillId="6" borderId="17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0" fillId="0" borderId="7" xfId="0" applyBorder="1" applyAlignment="1">
      <alignment horizontal="left" vertical="center"/>
    </xf>
    <xf numFmtId="0" fontId="0" fillId="0" borderId="17" xfId="0" applyBorder="1"/>
    <xf numFmtId="0" fontId="0" fillId="2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28" xfId="0" applyFill="1" applyBorder="1"/>
    <xf numFmtId="0" fontId="1" fillId="2" borderId="28" xfId="0" applyFont="1" applyFill="1" applyBorder="1"/>
    <xf numFmtId="0" fontId="1" fillId="2" borderId="28" xfId="0" applyFont="1" applyFill="1" applyBorder="1" applyAlignment="1">
      <alignment vertical="top"/>
    </xf>
    <xf numFmtId="0" fontId="0" fillId="2" borderId="28" xfId="0" applyFill="1" applyBorder="1" applyAlignment="1">
      <alignment vertical="top"/>
    </xf>
    <xf numFmtId="0" fontId="1" fillId="2" borderId="12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3" fillId="8" borderId="24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8" xfId="0" applyFill="1" applyBorder="1"/>
    <xf numFmtId="0" fontId="0" fillId="8" borderId="0" xfId="0" applyFill="1"/>
    <xf numFmtId="0" fontId="5" fillId="8" borderId="24" xfId="0" applyFont="1" applyFill="1" applyBorder="1" applyAlignment="1">
      <alignment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left" vertical="center" wrapText="1"/>
    </xf>
    <xf numFmtId="0" fontId="0" fillId="8" borderId="11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0" fillId="2" borderId="31" xfId="0" applyFill="1" applyBorder="1"/>
    <xf numFmtId="0" fontId="1" fillId="2" borderId="31" xfId="0" applyFont="1" applyFill="1" applyBorder="1" applyAlignment="1">
      <alignment horizontal="center"/>
    </xf>
    <xf numFmtId="9" fontId="1" fillId="2" borderId="31" xfId="0" applyNumberFormat="1" applyFont="1" applyFill="1" applyBorder="1" applyAlignment="1">
      <alignment horizontal="center"/>
    </xf>
    <xf numFmtId="0" fontId="0" fillId="2" borderId="28" xfId="0" applyFill="1" applyBorder="1" applyAlignment="1">
      <alignment horizontal="center" vertical="center"/>
    </xf>
    <xf numFmtId="0" fontId="0" fillId="9" borderId="31" xfId="0" applyFill="1" applyBorder="1"/>
    <xf numFmtId="0" fontId="1" fillId="9" borderId="31" xfId="0" applyFont="1" applyFill="1" applyBorder="1" applyAlignment="1">
      <alignment horizontal="center"/>
    </xf>
    <xf numFmtId="9" fontId="1" fillId="9" borderId="31" xfId="0" applyNumberFormat="1" applyFont="1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 wrapText="1"/>
    </xf>
    <xf numFmtId="0" fontId="0" fillId="10" borderId="23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1" fillId="11" borderId="23" xfId="0" applyFont="1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0" fillId="8" borderId="31" xfId="0" applyFill="1" applyBorder="1"/>
    <xf numFmtId="0" fontId="1" fillId="8" borderId="31" xfId="0" applyFont="1" applyFill="1" applyBorder="1" applyAlignment="1">
      <alignment horizontal="center"/>
    </xf>
    <xf numFmtId="9" fontId="1" fillId="8" borderId="31" xfId="0" applyNumberFormat="1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vertical="top"/>
    </xf>
    <xf numFmtId="0" fontId="1" fillId="3" borderId="21" xfId="0" applyFont="1" applyFill="1" applyBorder="1" applyAlignment="1">
      <alignment horizontal="center" vertical="center" wrapText="1"/>
    </xf>
    <xf numFmtId="1" fontId="0" fillId="2" borderId="28" xfId="0" applyNumberFormat="1" applyFill="1" applyBorder="1"/>
    <xf numFmtId="0" fontId="1" fillId="2" borderId="32" xfId="0" applyFont="1" applyFill="1" applyBorder="1" applyAlignment="1">
      <alignment horizontal="center"/>
    </xf>
    <xf numFmtId="0" fontId="0" fillId="2" borderId="29" xfId="0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2" borderId="28" xfId="0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32</xdr:row>
      <xdr:rowOff>15240</xdr:rowOff>
    </xdr:from>
    <xdr:to>
      <xdr:col>1</xdr:col>
      <xdr:colOff>967740</xdr:colOff>
      <xdr:row>32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9840E2-C711-407E-83CD-FAE9C60689B6}"/>
            </a:ext>
          </a:extLst>
        </xdr:cNvPr>
        <xdr:cNvSpPr txBox="1"/>
      </xdr:nvSpPr>
      <xdr:spPr>
        <a:xfrm>
          <a:off x="632460" y="5974080"/>
          <a:ext cx="944880" cy="152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Development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32</xdr:row>
      <xdr:rowOff>15240</xdr:rowOff>
    </xdr:from>
    <xdr:to>
      <xdr:col>1</xdr:col>
      <xdr:colOff>967740</xdr:colOff>
      <xdr:row>32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E2F4E3-28C2-4CFE-A733-611CE5647B8C}"/>
            </a:ext>
          </a:extLst>
        </xdr:cNvPr>
        <xdr:cNvSpPr txBox="1"/>
      </xdr:nvSpPr>
      <xdr:spPr>
        <a:xfrm>
          <a:off x="632460" y="6591300"/>
          <a:ext cx="944880" cy="152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/>
            <a:t>Development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1EC9-2BE0-45BB-BA7C-541601DD8189}">
  <sheetPr>
    <tabColor rgb="FF00B050"/>
  </sheetPr>
  <dimension ref="A1:Y66"/>
  <sheetViews>
    <sheetView topLeftCell="F1" workbookViewId="0">
      <pane ySplit="4" topLeftCell="A5" activePane="bottomLeft" state="frozen"/>
      <selection pane="bottomLeft" activeCell="V10" sqref="V10"/>
    </sheetView>
  </sheetViews>
  <sheetFormatPr defaultRowHeight="14.4" x14ac:dyDescent="0.3"/>
  <cols>
    <col min="2" max="2" width="22.5546875" style="1" bestFit="1" customWidth="1"/>
    <col min="3" max="3" width="16" style="1" bestFit="1" customWidth="1"/>
    <col min="4" max="4" width="7.44140625" style="2" customWidth="1"/>
    <col min="5" max="5" width="38.109375" style="2" bestFit="1" customWidth="1"/>
    <col min="6" max="6" width="43.109375" style="3" bestFit="1" customWidth="1"/>
    <col min="7" max="7" width="12.88671875" style="2" customWidth="1"/>
    <col min="8" max="9" width="8.33203125" style="2" customWidth="1"/>
    <col min="10" max="10" width="13.6640625" style="2" bestFit="1" customWidth="1"/>
    <col min="11" max="11" width="5.6640625" style="2" customWidth="1"/>
    <col min="12" max="12" width="9.44140625" style="2" bestFit="1" customWidth="1"/>
    <col min="13" max="13" width="6.44140625" style="2" customWidth="1"/>
    <col min="14" max="14" width="8.33203125" style="2" bestFit="1" customWidth="1"/>
    <col min="15" max="15" width="8.33203125" style="99" customWidth="1"/>
    <col min="16" max="16" width="5.6640625" style="2" bestFit="1" customWidth="1"/>
    <col min="17" max="17" width="6.88671875" style="2" customWidth="1"/>
    <col min="18" max="18" width="13.33203125" bestFit="1" customWidth="1"/>
    <col min="19" max="19" width="15.6640625" customWidth="1"/>
    <col min="21" max="21" width="11.33203125" bestFit="1" customWidth="1"/>
    <col min="22" max="22" width="16.6640625" bestFit="1" customWidth="1"/>
  </cols>
  <sheetData>
    <row r="1" spans="1:22" ht="15" thickBot="1" x14ac:dyDescent="0.35"/>
    <row r="2" spans="1:22" ht="15" thickBot="1" x14ac:dyDescent="0.35">
      <c r="C2" s="3"/>
      <c r="D2" s="3"/>
      <c r="E2" s="5"/>
      <c r="H2" s="132" t="s">
        <v>0</v>
      </c>
      <c r="I2" s="133"/>
      <c r="J2" s="133"/>
      <c r="K2" s="133"/>
      <c r="L2" s="133"/>
      <c r="M2" s="133"/>
      <c r="N2" s="134"/>
      <c r="O2" s="100"/>
      <c r="P2" s="135"/>
      <c r="Q2" s="135"/>
      <c r="R2" s="136"/>
    </row>
    <row r="3" spans="1:22" ht="15" thickBot="1" x14ac:dyDescent="0.35">
      <c r="G3" s="51"/>
      <c r="H3" s="137" t="s">
        <v>2</v>
      </c>
      <c r="I3" s="139" t="s">
        <v>3</v>
      </c>
      <c r="J3" s="6" t="s">
        <v>4</v>
      </c>
      <c r="K3" s="141" t="s">
        <v>5</v>
      </c>
      <c r="L3" s="135"/>
      <c r="M3" s="135"/>
      <c r="N3" s="136"/>
      <c r="O3" s="101"/>
      <c r="P3" s="142" t="s">
        <v>7</v>
      </c>
      <c r="Q3" s="143"/>
      <c r="R3" s="144"/>
    </row>
    <row r="4" spans="1:22" ht="58.2" thickBot="1" x14ac:dyDescent="0.35">
      <c r="B4" s="7" t="s">
        <v>8</v>
      </c>
      <c r="C4" s="8" t="s">
        <v>9</v>
      </c>
      <c r="D4" s="9" t="s">
        <v>10</v>
      </c>
      <c r="E4" s="10" t="s">
        <v>11</v>
      </c>
      <c r="F4" s="11" t="s">
        <v>12</v>
      </c>
      <c r="G4" s="13" t="s">
        <v>7</v>
      </c>
      <c r="H4" s="138"/>
      <c r="I4" s="140"/>
      <c r="J4" s="15" t="s">
        <v>14</v>
      </c>
      <c r="K4" s="16" t="s">
        <v>15</v>
      </c>
      <c r="L4" s="17" t="s">
        <v>10</v>
      </c>
      <c r="M4" s="17" t="s">
        <v>16</v>
      </c>
      <c r="N4" s="18" t="s">
        <v>17</v>
      </c>
      <c r="O4" s="102" t="s">
        <v>102</v>
      </c>
      <c r="P4" s="15" t="s">
        <v>2</v>
      </c>
      <c r="Q4" s="15" t="s">
        <v>3</v>
      </c>
      <c r="R4" s="6" t="s">
        <v>76</v>
      </c>
    </row>
    <row r="5" spans="1:22" ht="15" thickBot="1" x14ac:dyDescent="0.35">
      <c r="A5" s="149" t="s">
        <v>91</v>
      </c>
      <c r="B5" s="29" t="s">
        <v>22</v>
      </c>
      <c r="C5" s="1" t="s">
        <v>19</v>
      </c>
      <c r="D5" s="2" t="s">
        <v>23</v>
      </c>
      <c r="E5" s="5" t="s">
        <v>24</v>
      </c>
      <c r="F5" s="3" t="s">
        <v>25</v>
      </c>
      <c r="G5" s="2">
        <v>3</v>
      </c>
      <c r="H5" s="28">
        <v>16</v>
      </c>
      <c r="I5" s="28">
        <v>256</v>
      </c>
      <c r="J5" s="28">
        <v>0.5</v>
      </c>
      <c r="K5" s="30">
        <v>8</v>
      </c>
      <c r="L5" s="2" t="s">
        <v>21</v>
      </c>
      <c r="M5" s="2">
        <v>1</v>
      </c>
      <c r="N5" s="27">
        <f t="shared" ref="N5:N18" si="0">K5*M5</f>
        <v>8</v>
      </c>
      <c r="O5" s="103">
        <f>G5*N5</f>
        <v>24</v>
      </c>
      <c r="P5" s="28">
        <f>H5*G5</f>
        <v>48</v>
      </c>
      <c r="Q5" s="28">
        <f>I5*G5</f>
        <v>768</v>
      </c>
      <c r="R5" s="53"/>
    </row>
    <row r="6" spans="1:22" ht="15" thickBot="1" x14ac:dyDescent="0.35">
      <c r="A6" s="149"/>
      <c r="B6" s="29" t="s">
        <v>22</v>
      </c>
      <c r="C6" s="1" t="s">
        <v>19</v>
      </c>
      <c r="D6" s="2" t="s">
        <v>26</v>
      </c>
      <c r="E6" s="5" t="s">
        <v>24</v>
      </c>
      <c r="F6" s="3" t="s">
        <v>27</v>
      </c>
      <c r="G6" s="2">
        <v>21</v>
      </c>
      <c r="H6" s="28">
        <v>32</v>
      </c>
      <c r="I6" s="28">
        <v>512</v>
      </c>
      <c r="J6" s="28">
        <v>0.5</v>
      </c>
      <c r="K6" s="30">
        <v>12</v>
      </c>
      <c r="L6" s="2" t="s">
        <v>21</v>
      </c>
      <c r="M6" s="2">
        <v>2</v>
      </c>
      <c r="N6" s="27">
        <f t="shared" si="0"/>
        <v>24</v>
      </c>
      <c r="O6" s="103">
        <f>G6*N6</f>
        <v>504</v>
      </c>
      <c r="P6" s="28">
        <f>H6*G6</f>
        <v>672</v>
      </c>
      <c r="Q6" s="28">
        <f>I6*G6</f>
        <v>10752</v>
      </c>
      <c r="R6" s="53"/>
      <c r="S6" s="150" t="s">
        <v>106</v>
      </c>
      <c r="T6" s="151"/>
      <c r="U6" s="151"/>
      <c r="V6" s="152"/>
    </row>
    <row r="7" spans="1:22" x14ac:dyDescent="0.3">
      <c r="A7" s="149"/>
      <c r="B7" s="29" t="s">
        <v>22</v>
      </c>
      <c r="C7" s="1" t="s">
        <v>19</v>
      </c>
      <c r="D7" s="2" t="s">
        <v>28</v>
      </c>
      <c r="E7" s="5" t="s">
        <v>24</v>
      </c>
      <c r="F7" s="3" t="s">
        <v>29</v>
      </c>
      <c r="G7" s="2">
        <v>3</v>
      </c>
      <c r="H7" s="28">
        <v>32</v>
      </c>
      <c r="I7" s="28">
        <v>512</v>
      </c>
      <c r="J7" s="28">
        <v>0.5</v>
      </c>
      <c r="K7" s="30">
        <v>4</v>
      </c>
      <c r="L7" s="2" t="s">
        <v>21</v>
      </c>
      <c r="M7" s="2">
        <v>4</v>
      </c>
      <c r="N7" s="27">
        <f t="shared" si="0"/>
        <v>16</v>
      </c>
      <c r="O7" s="103">
        <f>G7*N7</f>
        <v>48</v>
      </c>
      <c r="P7" s="28">
        <f>H7*G7</f>
        <v>96</v>
      </c>
      <c r="Q7" s="28">
        <f>I7*G7</f>
        <v>1536</v>
      </c>
      <c r="R7" s="53"/>
      <c r="S7" s="92"/>
      <c r="T7" s="93" t="s">
        <v>86</v>
      </c>
      <c r="U7" s="94">
        <v>0.2</v>
      </c>
      <c r="V7" s="93" t="s">
        <v>95</v>
      </c>
    </row>
    <row r="8" spans="1:22" ht="15" thickBot="1" x14ac:dyDescent="0.35">
      <c r="A8" s="149"/>
      <c r="B8" s="29" t="s">
        <v>22</v>
      </c>
      <c r="C8" s="1" t="s">
        <v>19</v>
      </c>
      <c r="D8" s="2" t="s">
        <v>30</v>
      </c>
      <c r="E8" s="5" t="s">
        <v>24</v>
      </c>
      <c r="F8" s="3" t="s">
        <v>31</v>
      </c>
      <c r="G8" s="2">
        <v>3</v>
      </c>
      <c r="H8" s="28">
        <v>16</v>
      </c>
      <c r="I8" s="28">
        <v>256</v>
      </c>
      <c r="J8" s="28">
        <v>0.5</v>
      </c>
      <c r="K8" s="30">
        <v>4</v>
      </c>
      <c r="L8" s="2" t="s">
        <v>21</v>
      </c>
      <c r="M8" s="2">
        <v>1</v>
      </c>
      <c r="N8" s="27">
        <f t="shared" si="0"/>
        <v>4</v>
      </c>
      <c r="O8" s="103">
        <f>G8*N8</f>
        <v>12</v>
      </c>
      <c r="P8" s="28">
        <f>H8*G8</f>
        <v>48</v>
      </c>
      <c r="Q8" s="28">
        <f>I8*G8</f>
        <v>768</v>
      </c>
      <c r="R8" s="53"/>
      <c r="S8" s="72" t="s">
        <v>2</v>
      </c>
      <c r="T8" s="95">
        <f>P9</f>
        <v>864</v>
      </c>
      <c r="U8" s="120">
        <f>T8*1.2</f>
        <v>1036.8</v>
      </c>
      <c r="V8" s="95">
        <f>U8/96</f>
        <v>10.799999999999999</v>
      </c>
    </row>
    <row r="9" spans="1:22" x14ac:dyDescent="0.3">
      <c r="B9" s="54"/>
      <c r="C9" s="55" t="s">
        <v>77</v>
      </c>
      <c r="D9" s="55"/>
      <c r="E9" s="55" t="s">
        <v>77</v>
      </c>
      <c r="F9" s="55" t="s">
        <v>77</v>
      </c>
      <c r="G9" s="57">
        <f>SUM(G5:G8)</f>
        <v>30</v>
      </c>
      <c r="H9" s="56"/>
      <c r="I9" s="56"/>
      <c r="J9" s="56"/>
      <c r="K9" s="58"/>
      <c r="L9" s="57"/>
      <c r="M9" s="57"/>
      <c r="N9" s="59">
        <f>SUM(N5:N8)</f>
        <v>52</v>
      </c>
      <c r="O9" s="104">
        <f>SUM(O5:O8)</f>
        <v>588</v>
      </c>
      <c r="P9" s="59">
        <f t="shared" ref="P9:Q9" si="1">SUM(P5:P8)</f>
        <v>864</v>
      </c>
      <c r="Q9" s="59">
        <f t="shared" si="1"/>
        <v>13824</v>
      </c>
      <c r="R9" s="56">
        <f>N9*G9</f>
        <v>1560</v>
      </c>
      <c r="S9" s="73" t="s">
        <v>88</v>
      </c>
      <c r="T9" s="95">
        <f>Q9</f>
        <v>13824</v>
      </c>
      <c r="U9" s="120">
        <f>T9*1.2</f>
        <v>16588.8</v>
      </c>
      <c r="V9" s="120">
        <f>U9/11</f>
        <v>1508.0727272727272</v>
      </c>
    </row>
    <row r="10" spans="1:22" ht="15" thickBot="1" x14ac:dyDescent="0.35">
      <c r="B10" s="60"/>
      <c r="C10" s="61" t="s">
        <v>75</v>
      </c>
      <c r="D10" s="61"/>
      <c r="E10" s="61" t="s">
        <v>75</v>
      </c>
      <c r="F10" s="61" t="s">
        <v>75</v>
      </c>
      <c r="G10" s="63">
        <v>15</v>
      </c>
      <c r="H10" s="62">
        <v>64</v>
      </c>
      <c r="I10" s="62">
        <v>1024</v>
      </c>
      <c r="J10" s="62">
        <v>1</v>
      </c>
      <c r="K10" s="64">
        <v>14</v>
      </c>
      <c r="L10" s="63" t="s">
        <v>21</v>
      </c>
      <c r="M10" s="63">
        <v>8</v>
      </c>
      <c r="N10" s="65">
        <f t="shared" ref="N10" si="2">K10*M10</f>
        <v>112</v>
      </c>
      <c r="O10" s="105">
        <f>O9*3</f>
        <v>1764</v>
      </c>
      <c r="P10" s="62"/>
      <c r="Q10" s="62"/>
      <c r="R10" s="62"/>
      <c r="S10" s="73" t="s">
        <v>89</v>
      </c>
      <c r="T10" s="95">
        <f>O10</f>
        <v>1764</v>
      </c>
      <c r="U10" s="120">
        <f>T10*1.2</f>
        <v>2116.7999999999997</v>
      </c>
      <c r="V10" s="120">
        <f>U10/11</f>
        <v>192.43636363636361</v>
      </c>
    </row>
    <row r="11" spans="1:22" ht="18" customHeight="1" x14ac:dyDescent="0.3">
      <c r="A11" s="149" t="s">
        <v>92</v>
      </c>
      <c r="B11" s="29"/>
      <c r="C11" s="66"/>
      <c r="D11" s="66"/>
      <c r="E11" s="66"/>
      <c r="F11" s="66"/>
      <c r="H11" s="25"/>
      <c r="I11" s="24"/>
      <c r="J11" s="24"/>
      <c r="N11" s="27"/>
      <c r="O11" s="103"/>
      <c r="P11" s="28"/>
      <c r="Q11" s="28"/>
      <c r="R11" s="30"/>
      <c r="S11" s="148" t="s">
        <v>90</v>
      </c>
      <c r="T11" s="148"/>
      <c r="U11" s="148"/>
      <c r="V11" s="148"/>
    </row>
    <row r="12" spans="1:22" x14ac:dyDescent="0.3">
      <c r="A12" s="149"/>
      <c r="B12" s="29" t="s">
        <v>32</v>
      </c>
      <c r="C12" s="1" t="s">
        <v>19</v>
      </c>
      <c r="D12" s="2" t="s">
        <v>23</v>
      </c>
      <c r="E12" s="1" t="s">
        <v>33</v>
      </c>
      <c r="F12" s="3" t="s">
        <v>34</v>
      </c>
      <c r="G12" s="2">
        <v>1</v>
      </c>
      <c r="H12" s="28">
        <v>8</v>
      </c>
      <c r="I12" s="28">
        <v>128</v>
      </c>
      <c r="J12" s="28">
        <v>0.5</v>
      </c>
      <c r="K12" s="2">
        <v>2</v>
      </c>
      <c r="L12" s="2" t="s">
        <v>21</v>
      </c>
      <c r="M12" s="2">
        <v>2</v>
      </c>
      <c r="N12" s="27">
        <f t="shared" si="0"/>
        <v>4</v>
      </c>
      <c r="O12" s="103">
        <f t="shared" ref="O12:O19" si="3">N12*G12</f>
        <v>4</v>
      </c>
      <c r="P12" s="28">
        <f t="shared" ref="P12:P19" si="4">H12*G12</f>
        <v>8</v>
      </c>
      <c r="Q12" s="28">
        <f t="shared" ref="Q12:Q19" si="5">I12*G12</f>
        <v>128</v>
      </c>
      <c r="R12" s="53"/>
    </row>
    <row r="13" spans="1:22" x14ac:dyDescent="0.3">
      <c r="A13" s="149"/>
      <c r="B13" s="29" t="s">
        <v>32</v>
      </c>
      <c r="C13" s="1" t="s">
        <v>19</v>
      </c>
      <c r="D13" s="2" t="s">
        <v>26</v>
      </c>
      <c r="E13" s="1" t="s">
        <v>35</v>
      </c>
      <c r="F13" s="3" t="s">
        <v>36</v>
      </c>
      <c r="G13" s="2">
        <v>1</v>
      </c>
      <c r="H13" s="28">
        <v>8</v>
      </c>
      <c r="I13" s="28">
        <v>128</v>
      </c>
      <c r="J13" s="28">
        <v>0.5</v>
      </c>
      <c r="K13" s="2">
        <v>2</v>
      </c>
      <c r="L13" s="2" t="s">
        <v>21</v>
      </c>
      <c r="M13" s="2">
        <v>4</v>
      </c>
      <c r="N13" s="27">
        <f t="shared" si="0"/>
        <v>8</v>
      </c>
      <c r="O13" s="103">
        <f t="shared" si="3"/>
        <v>8</v>
      </c>
      <c r="P13" s="28">
        <f t="shared" si="4"/>
        <v>8</v>
      </c>
      <c r="Q13" s="28">
        <f t="shared" si="5"/>
        <v>128</v>
      </c>
      <c r="R13" s="53"/>
    </row>
    <row r="14" spans="1:22" x14ac:dyDescent="0.3">
      <c r="A14" s="149"/>
      <c r="B14" s="29" t="s">
        <v>32</v>
      </c>
      <c r="C14" s="1" t="s">
        <v>19</v>
      </c>
      <c r="D14" s="2" t="s">
        <v>28</v>
      </c>
      <c r="E14" s="1" t="s">
        <v>35</v>
      </c>
      <c r="F14" s="3" t="s">
        <v>37</v>
      </c>
      <c r="G14" s="2">
        <v>1</v>
      </c>
      <c r="H14" s="28">
        <v>4</v>
      </c>
      <c r="I14" s="28">
        <v>64</v>
      </c>
      <c r="J14" s="28">
        <v>0.5</v>
      </c>
      <c r="K14" s="2">
        <v>2</v>
      </c>
      <c r="L14" s="2" t="s">
        <v>21</v>
      </c>
      <c r="M14" s="2">
        <v>2</v>
      </c>
      <c r="N14" s="27">
        <f t="shared" si="0"/>
        <v>4</v>
      </c>
      <c r="O14" s="103">
        <f t="shared" si="3"/>
        <v>4</v>
      </c>
      <c r="P14" s="28">
        <f t="shared" si="4"/>
        <v>4</v>
      </c>
      <c r="Q14" s="28">
        <f t="shared" si="5"/>
        <v>64</v>
      </c>
      <c r="R14" s="53"/>
      <c r="T14" s="32"/>
    </row>
    <row r="15" spans="1:22" x14ac:dyDescent="0.3">
      <c r="A15" s="149"/>
      <c r="B15" s="29" t="s">
        <v>32</v>
      </c>
      <c r="C15" s="1" t="s">
        <v>19</v>
      </c>
      <c r="D15" s="2" t="s">
        <v>30</v>
      </c>
      <c r="E15" s="1" t="s">
        <v>38</v>
      </c>
      <c r="F15" s="3" t="s">
        <v>39</v>
      </c>
      <c r="G15" s="2">
        <v>1</v>
      </c>
      <c r="H15" s="28">
        <v>4</v>
      </c>
      <c r="I15" s="28">
        <v>64</v>
      </c>
      <c r="J15" s="28">
        <v>0.5</v>
      </c>
      <c r="K15" s="2">
        <v>2</v>
      </c>
      <c r="L15" s="2" t="s">
        <v>21</v>
      </c>
      <c r="M15" s="2">
        <v>1</v>
      </c>
      <c r="N15" s="27">
        <f t="shared" si="0"/>
        <v>2</v>
      </c>
      <c r="O15" s="103">
        <f t="shared" si="3"/>
        <v>2</v>
      </c>
      <c r="P15" s="28">
        <f t="shared" si="4"/>
        <v>4</v>
      </c>
      <c r="Q15" s="28">
        <f t="shared" si="5"/>
        <v>64</v>
      </c>
      <c r="R15" s="53"/>
      <c r="T15" s="33"/>
    </row>
    <row r="16" spans="1:22" x14ac:dyDescent="0.3">
      <c r="A16" s="149"/>
      <c r="B16" s="29" t="s">
        <v>32</v>
      </c>
      <c r="C16" s="1" t="s">
        <v>19</v>
      </c>
      <c r="D16" s="2" t="s">
        <v>40</v>
      </c>
      <c r="E16" s="1" t="s">
        <v>41</v>
      </c>
      <c r="F16" s="3" t="s">
        <v>42</v>
      </c>
      <c r="G16" s="2">
        <v>3</v>
      </c>
      <c r="H16" s="28">
        <v>16</v>
      </c>
      <c r="I16" s="28">
        <v>256</v>
      </c>
      <c r="J16" s="28">
        <v>0.5</v>
      </c>
      <c r="K16" s="2">
        <v>2</v>
      </c>
      <c r="L16" s="2" t="s">
        <v>21</v>
      </c>
      <c r="M16" s="2">
        <v>2</v>
      </c>
      <c r="N16" s="27">
        <f t="shared" si="0"/>
        <v>4</v>
      </c>
      <c r="O16" s="103">
        <f t="shared" si="3"/>
        <v>12</v>
      </c>
      <c r="P16" s="28">
        <f t="shared" si="4"/>
        <v>48</v>
      </c>
      <c r="Q16" s="28">
        <f t="shared" si="5"/>
        <v>768</v>
      </c>
      <c r="R16" s="53"/>
    </row>
    <row r="17" spans="1:25" ht="15" thickBot="1" x14ac:dyDescent="0.35">
      <c r="A17" s="149"/>
      <c r="B17" s="34" t="s">
        <v>43</v>
      </c>
      <c r="C17" s="5" t="s">
        <v>19</v>
      </c>
      <c r="D17" s="2" t="s">
        <v>23</v>
      </c>
      <c r="E17" s="1" t="s">
        <v>78</v>
      </c>
      <c r="F17" s="3" t="s">
        <v>79</v>
      </c>
      <c r="G17" s="2">
        <v>2</v>
      </c>
      <c r="H17" s="28">
        <v>16</v>
      </c>
      <c r="I17" s="28">
        <v>256</v>
      </c>
      <c r="J17" s="28">
        <v>0.5</v>
      </c>
      <c r="K17" s="2">
        <v>2</v>
      </c>
      <c r="L17" s="2" t="s">
        <v>21</v>
      </c>
      <c r="M17" s="2">
        <v>2</v>
      </c>
      <c r="N17" s="27">
        <f t="shared" si="0"/>
        <v>4</v>
      </c>
      <c r="O17" s="103">
        <f t="shared" si="3"/>
        <v>8</v>
      </c>
      <c r="P17" s="28">
        <f t="shared" si="4"/>
        <v>32</v>
      </c>
      <c r="Q17" s="28">
        <f t="shared" si="5"/>
        <v>512</v>
      </c>
      <c r="R17" s="53"/>
    </row>
    <row r="18" spans="1:25" ht="32.4" customHeight="1" thickBot="1" x14ac:dyDescent="0.35">
      <c r="A18" s="149"/>
      <c r="B18" s="34" t="s">
        <v>46</v>
      </c>
      <c r="C18" s="1" t="s">
        <v>19</v>
      </c>
      <c r="D18" s="35" t="s">
        <v>23</v>
      </c>
      <c r="E18" s="36" t="s">
        <v>80</v>
      </c>
      <c r="F18" s="37" t="s">
        <v>48</v>
      </c>
      <c r="G18" s="2">
        <v>5</v>
      </c>
      <c r="H18" s="28">
        <v>16</v>
      </c>
      <c r="I18" s="28">
        <v>128</v>
      </c>
      <c r="J18" s="28">
        <v>0.5</v>
      </c>
      <c r="K18" s="2">
        <v>2</v>
      </c>
      <c r="L18" s="2" t="s">
        <v>21</v>
      </c>
      <c r="M18" s="2">
        <v>1</v>
      </c>
      <c r="N18" s="27">
        <f t="shared" si="0"/>
        <v>2</v>
      </c>
      <c r="O18" s="103">
        <f t="shared" si="3"/>
        <v>10</v>
      </c>
      <c r="P18" s="28">
        <f t="shared" si="4"/>
        <v>80</v>
      </c>
      <c r="Q18" s="28">
        <f t="shared" si="5"/>
        <v>640</v>
      </c>
      <c r="R18" s="53"/>
      <c r="S18" s="150" t="s">
        <v>97</v>
      </c>
      <c r="T18" s="151"/>
      <c r="U18" s="151"/>
      <c r="V18" s="151"/>
      <c r="W18" s="156" t="s">
        <v>107</v>
      </c>
      <c r="X18" s="157"/>
      <c r="Y18" s="158"/>
    </row>
    <row r="19" spans="1:25" ht="15" thickBot="1" x14ac:dyDescent="0.35">
      <c r="A19" s="149"/>
      <c r="B19" s="34" t="s">
        <v>54</v>
      </c>
      <c r="C19" s="1" t="s">
        <v>19</v>
      </c>
      <c r="E19" s="5" t="s">
        <v>58</v>
      </c>
      <c r="F19" s="3" t="s">
        <v>59</v>
      </c>
      <c r="G19" s="2">
        <v>3</v>
      </c>
      <c r="H19" s="28">
        <v>16</v>
      </c>
      <c r="I19" s="28">
        <v>128</v>
      </c>
      <c r="J19" s="28">
        <v>1</v>
      </c>
      <c r="K19" s="2">
        <v>4</v>
      </c>
      <c r="L19" s="2" t="s">
        <v>53</v>
      </c>
      <c r="M19" s="2">
        <v>4</v>
      </c>
      <c r="N19" s="27">
        <f>K19*M19</f>
        <v>16</v>
      </c>
      <c r="O19" s="103">
        <f t="shared" si="3"/>
        <v>48</v>
      </c>
      <c r="P19" s="28">
        <f t="shared" si="4"/>
        <v>48</v>
      </c>
      <c r="Q19" s="28">
        <f t="shared" si="5"/>
        <v>384</v>
      </c>
      <c r="R19" s="53"/>
      <c r="S19" s="92"/>
      <c r="T19" s="93" t="s">
        <v>86</v>
      </c>
      <c r="U19" s="94">
        <v>0.2</v>
      </c>
      <c r="V19" s="124" t="s">
        <v>87</v>
      </c>
      <c r="W19" s="71" t="s">
        <v>2</v>
      </c>
      <c r="X19" s="123">
        <f>U20+U27</f>
        <v>393.59999999999997</v>
      </c>
      <c r="Y19" s="71">
        <f>X19/96</f>
        <v>4.0999999999999996</v>
      </c>
    </row>
    <row r="20" spans="1:25" x14ac:dyDescent="0.3">
      <c r="B20" s="54"/>
      <c r="C20" s="55" t="s">
        <v>77</v>
      </c>
      <c r="D20" s="55"/>
      <c r="E20" s="55" t="s">
        <v>77</v>
      </c>
      <c r="F20" s="55" t="s">
        <v>77</v>
      </c>
      <c r="G20" s="57">
        <f>SUM(G12:G19)</f>
        <v>17</v>
      </c>
      <c r="H20" s="56"/>
      <c r="I20" s="56"/>
      <c r="J20" s="56"/>
      <c r="K20" s="58"/>
      <c r="L20" s="57"/>
      <c r="M20" s="57"/>
      <c r="N20" s="59">
        <f>SUM(N12:N19)</f>
        <v>44</v>
      </c>
      <c r="O20" s="104">
        <f>SUM(O12:O19)</f>
        <v>96</v>
      </c>
      <c r="P20" s="59">
        <f>SUM(P12:P19)</f>
        <v>232</v>
      </c>
      <c r="Q20" s="59">
        <f>SUM(Q12:Q19)</f>
        <v>2688</v>
      </c>
      <c r="R20" s="56">
        <f>N20*G20</f>
        <v>748</v>
      </c>
      <c r="S20" s="72" t="s">
        <v>2</v>
      </c>
      <c r="T20" s="95">
        <f>P20</f>
        <v>232</v>
      </c>
      <c r="U20" s="120">
        <f>T20*1.2</f>
        <v>278.39999999999998</v>
      </c>
      <c r="V20" s="125"/>
      <c r="W20" s="71" t="s">
        <v>88</v>
      </c>
      <c r="X20" s="123">
        <f>U21+U28</f>
        <v>4147.2</v>
      </c>
      <c r="Y20" s="123">
        <f>X20/4</f>
        <v>1036.8</v>
      </c>
    </row>
    <row r="21" spans="1:25" ht="15" thickBot="1" x14ac:dyDescent="0.35">
      <c r="B21" s="60"/>
      <c r="C21" s="61" t="s">
        <v>75</v>
      </c>
      <c r="D21" s="61"/>
      <c r="E21" s="61" t="s">
        <v>75</v>
      </c>
      <c r="F21" s="61" t="s">
        <v>75</v>
      </c>
      <c r="G21" s="63">
        <v>9</v>
      </c>
      <c r="H21" s="62">
        <v>32</v>
      </c>
      <c r="I21" s="62">
        <v>320</v>
      </c>
      <c r="J21" s="62">
        <v>1</v>
      </c>
      <c r="K21" s="64">
        <v>10</v>
      </c>
      <c r="L21" s="63" t="s">
        <v>21</v>
      </c>
      <c r="M21" s="63">
        <v>8</v>
      </c>
      <c r="N21" s="65">
        <f t="shared" ref="N21" si="6">K21*M21</f>
        <v>80</v>
      </c>
      <c r="O21" s="105">
        <f>O20*3</f>
        <v>288</v>
      </c>
      <c r="P21" s="62"/>
      <c r="Q21" s="62"/>
      <c r="R21" s="62"/>
      <c r="S21" s="73" t="s">
        <v>88</v>
      </c>
      <c r="T21" s="95">
        <f>Q20</f>
        <v>2688</v>
      </c>
      <c r="U21" s="120">
        <f>T21*1.2</f>
        <v>3225.6</v>
      </c>
      <c r="V21" s="125"/>
      <c r="W21" s="71" t="s">
        <v>89</v>
      </c>
      <c r="X21" s="123">
        <f>U22+U29</f>
        <v>504</v>
      </c>
      <c r="Y21" s="71">
        <f>X21/4</f>
        <v>126</v>
      </c>
    </row>
    <row r="22" spans="1:25" x14ac:dyDescent="0.3">
      <c r="A22" s="149" t="s">
        <v>93</v>
      </c>
      <c r="B22" s="19" t="s">
        <v>18</v>
      </c>
      <c r="C22" s="20" t="s">
        <v>19</v>
      </c>
      <c r="D22" s="21"/>
      <c r="E22" s="22" t="s">
        <v>20</v>
      </c>
      <c r="F22" s="23"/>
      <c r="G22" s="21">
        <v>2</v>
      </c>
      <c r="H22" s="28">
        <v>32</v>
      </c>
      <c r="I22" s="28">
        <v>256</v>
      </c>
      <c r="J22" s="24">
        <v>1</v>
      </c>
      <c r="K22" s="25">
        <v>0</v>
      </c>
      <c r="L22" s="21" t="s">
        <v>21</v>
      </c>
      <c r="M22" s="21">
        <v>0</v>
      </c>
      <c r="N22" s="26">
        <f>K22*M22</f>
        <v>0</v>
      </c>
      <c r="O22" s="103">
        <f>G22*N22</f>
        <v>0</v>
      </c>
      <c r="P22" s="28">
        <f>H22*G22</f>
        <v>64</v>
      </c>
      <c r="Q22" s="28">
        <f>I22*G22</f>
        <v>512</v>
      </c>
      <c r="R22" s="53"/>
      <c r="S22" s="73" t="s">
        <v>89</v>
      </c>
      <c r="T22" s="95">
        <f>O21</f>
        <v>288</v>
      </c>
      <c r="U22" s="120">
        <f>T22*1.2</f>
        <v>345.59999999999997</v>
      </c>
      <c r="V22" s="125"/>
      <c r="W22" s="71"/>
      <c r="X22" s="71"/>
      <c r="Y22" s="71"/>
    </row>
    <row r="23" spans="1:25" x14ac:dyDescent="0.3">
      <c r="A23" s="149"/>
      <c r="B23" s="34" t="s">
        <v>54</v>
      </c>
      <c r="C23" s="1" t="s">
        <v>19</v>
      </c>
      <c r="D23" s="35"/>
      <c r="E23" s="5" t="s">
        <v>85</v>
      </c>
      <c r="F23" s="1" t="s">
        <v>55</v>
      </c>
      <c r="G23" s="2">
        <v>2</v>
      </c>
      <c r="H23" s="28">
        <v>32</v>
      </c>
      <c r="I23" s="28">
        <v>256</v>
      </c>
      <c r="J23" s="28">
        <v>1</v>
      </c>
      <c r="K23" s="30">
        <v>4</v>
      </c>
      <c r="L23" s="2" t="s">
        <v>21</v>
      </c>
      <c r="M23" s="2">
        <v>2</v>
      </c>
      <c r="N23" s="27">
        <f>K23*M23</f>
        <v>8</v>
      </c>
      <c r="O23" s="103">
        <f>G23*N23</f>
        <v>16</v>
      </c>
      <c r="P23" s="28">
        <f>H23*G23</f>
        <v>64</v>
      </c>
      <c r="Q23" s="28">
        <f>I23*G23</f>
        <v>512</v>
      </c>
      <c r="R23" s="53"/>
      <c r="S23" s="148" t="s">
        <v>90</v>
      </c>
      <c r="T23" s="148"/>
      <c r="U23" s="148"/>
      <c r="V23" s="145"/>
      <c r="W23" s="71"/>
      <c r="X23" s="71"/>
      <c r="Y23" s="71"/>
    </row>
    <row r="24" spans="1:25" ht="15" thickBot="1" x14ac:dyDescent="0.35">
      <c r="A24" s="149"/>
      <c r="B24" s="34" t="s">
        <v>54</v>
      </c>
      <c r="C24" s="1" t="s">
        <v>19</v>
      </c>
      <c r="E24" s="5" t="s">
        <v>56</v>
      </c>
      <c r="F24" s="3" t="s">
        <v>57</v>
      </c>
      <c r="G24" s="2">
        <v>2</v>
      </c>
      <c r="H24" s="28">
        <v>16</v>
      </c>
      <c r="I24" s="28">
        <v>128</v>
      </c>
      <c r="J24" s="28">
        <v>1</v>
      </c>
      <c r="K24" s="30">
        <v>2</v>
      </c>
      <c r="L24" s="2" t="s">
        <v>21</v>
      </c>
      <c r="M24" s="2">
        <v>1</v>
      </c>
      <c r="N24" s="27">
        <f>K24*M24</f>
        <v>2</v>
      </c>
      <c r="O24" s="103">
        <f>G24*N24</f>
        <v>4</v>
      </c>
      <c r="P24" s="28">
        <f>H24*G24</f>
        <v>32</v>
      </c>
      <c r="Q24" s="28">
        <f>I24*G24</f>
        <v>256</v>
      </c>
      <c r="R24" s="53"/>
    </row>
    <row r="25" spans="1:25" s="84" customFormat="1" ht="15" thickBot="1" x14ac:dyDescent="0.35">
      <c r="A25" s="149"/>
      <c r="B25" s="85" t="s">
        <v>54</v>
      </c>
      <c r="C25" s="78" t="s">
        <v>19</v>
      </c>
      <c r="D25" s="79"/>
      <c r="E25" s="86" t="s">
        <v>81</v>
      </c>
      <c r="F25" s="87" t="s">
        <v>82</v>
      </c>
      <c r="G25" s="79">
        <v>1</v>
      </c>
      <c r="H25" s="80">
        <v>16</v>
      </c>
      <c r="I25" s="80">
        <v>128</v>
      </c>
      <c r="J25" s="80"/>
      <c r="K25" s="82">
        <v>4</v>
      </c>
      <c r="L25" s="79" t="s">
        <v>21</v>
      </c>
      <c r="M25" s="79">
        <v>2</v>
      </c>
      <c r="N25" s="81">
        <f>K25*M25</f>
        <v>8</v>
      </c>
      <c r="O25" s="81">
        <f>G25*N25</f>
        <v>8</v>
      </c>
      <c r="P25" s="80"/>
      <c r="Q25" s="80"/>
      <c r="R25" s="83"/>
      <c r="S25" s="153" t="s">
        <v>98</v>
      </c>
      <c r="T25" s="154"/>
      <c r="U25" s="154"/>
      <c r="V25" s="155"/>
    </row>
    <row r="26" spans="1:25" s="84" customFormat="1" ht="15" thickBot="1" x14ac:dyDescent="0.35">
      <c r="A26" s="149"/>
      <c r="B26" s="85" t="s">
        <v>54</v>
      </c>
      <c r="C26" s="78" t="s">
        <v>19</v>
      </c>
      <c r="D26" s="79"/>
      <c r="E26" s="86" t="s">
        <v>83</v>
      </c>
      <c r="F26" s="87" t="s">
        <v>84</v>
      </c>
      <c r="G26" s="79">
        <v>2</v>
      </c>
      <c r="H26" s="80">
        <v>32</v>
      </c>
      <c r="I26" s="80">
        <v>128</v>
      </c>
      <c r="J26" s="80"/>
      <c r="K26" s="82">
        <v>4</v>
      </c>
      <c r="L26" s="79" t="s">
        <v>21</v>
      </c>
      <c r="M26" s="79">
        <v>2</v>
      </c>
      <c r="N26" s="81">
        <f>K26*M26</f>
        <v>8</v>
      </c>
      <c r="O26" s="81">
        <f>G26*N26</f>
        <v>16</v>
      </c>
      <c r="P26" s="80"/>
      <c r="Q26" s="80"/>
      <c r="R26" s="83"/>
      <c r="S26" s="117"/>
      <c r="T26" s="118" t="s">
        <v>86</v>
      </c>
      <c r="U26" s="119">
        <v>0.2</v>
      </c>
      <c r="V26" s="118" t="s">
        <v>87</v>
      </c>
    </row>
    <row r="27" spans="1:25" x14ac:dyDescent="0.3">
      <c r="B27" s="54"/>
      <c r="C27" s="55" t="s">
        <v>77</v>
      </c>
      <c r="D27" s="55"/>
      <c r="E27" s="55" t="s">
        <v>77</v>
      </c>
      <c r="F27" s="55" t="s">
        <v>77</v>
      </c>
      <c r="G27" s="57">
        <f>SUM(G22:G26)</f>
        <v>9</v>
      </c>
      <c r="H27" s="56"/>
      <c r="I27" s="56"/>
      <c r="J27" s="56"/>
      <c r="K27" s="58"/>
      <c r="L27" s="57"/>
      <c r="M27" s="57"/>
      <c r="N27" s="57">
        <f>SUM(N23:N26)</f>
        <v>26</v>
      </c>
      <c r="O27" s="106">
        <f>SUM(O22:O26)</f>
        <v>44</v>
      </c>
      <c r="P27" s="57">
        <f>SUM(P23:P26)</f>
        <v>96</v>
      </c>
      <c r="Q27" s="57">
        <f>SUM(Q23:Q26)</f>
        <v>768</v>
      </c>
      <c r="R27" s="56">
        <f>N27*G27</f>
        <v>234</v>
      </c>
      <c r="S27" s="72" t="s">
        <v>2</v>
      </c>
      <c r="T27" s="95">
        <f>P27</f>
        <v>96</v>
      </c>
      <c r="U27" s="120">
        <f>T27*1.2</f>
        <v>115.19999999999999</v>
      </c>
      <c r="V27" s="159" t="s">
        <v>108</v>
      </c>
    </row>
    <row r="28" spans="1:25" ht="15" thickBot="1" x14ac:dyDescent="0.35">
      <c r="B28" s="60"/>
      <c r="C28" s="61" t="s">
        <v>75</v>
      </c>
      <c r="D28" s="61"/>
      <c r="E28" s="61" t="s">
        <v>75</v>
      </c>
      <c r="F28" s="61" t="s">
        <v>75</v>
      </c>
      <c r="G28" s="63">
        <v>4</v>
      </c>
      <c r="H28" s="62"/>
      <c r="I28" s="62"/>
      <c r="J28" s="62">
        <v>1</v>
      </c>
      <c r="K28" s="64">
        <v>4</v>
      </c>
      <c r="L28" s="63" t="s">
        <v>21</v>
      </c>
      <c r="M28" s="63">
        <v>8</v>
      </c>
      <c r="N28" s="65">
        <f t="shared" ref="N28" si="7">K28*M28</f>
        <v>32</v>
      </c>
      <c r="O28" s="105">
        <f>O27*3</f>
        <v>132</v>
      </c>
      <c r="P28" s="62"/>
      <c r="Q28" s="62"/>
      <c r="R28" s="62"/>
      <c r="S28" s="73" t="s">
        <v>88</v>
      </c>
      <c r="T28" s="95">
        <f>Q27</f>
        <v>768</v>
      </c>
      <c r="U28" s="120">
        <f>T28*1.2</f>
        <v>921.59999999999991</v>
      </c>
      <c r="V28" s="160"/>
    </row>
    <row r="29" spans="1:25" x14ac:dyDescent="0.3">
      <c r="B29" s="34"/>
      <c r="E29" s="5"/>
      <c r="H29" s="28"/>
      <c r="I29" s="28"/>
      <c r="J29" s="28"/>
      <c r="N29" s="27"/>
      <c r="O29" s="103"/>
      <c r="P29" s="28"/>
      <c r="Q29" s="28"/>
      <c r="R29" s="53"/>
      <c r="S29" s="73" t="s">
        <v>89</v>
      </c>
      <c r="T29" s="95">
        <f>O28</f>
        <v>132</v>
      </c>
      <c r="U29" s="120">
        <f t="shared" ref="U29" si="8">T29*1.2</f>
        <v>158.4</v>
      </c>
      <c r="V29" s="161"/>
    </row>
    <row r="30" spans="1:25" x14ac:dyDescent="0.3">
      <c r="B30" s="34" t="s">
        <v>49</v>
      </c>
      <c r="C30" s="1" t="s">
        <v>19</v>
      </c>
      <c r="E30" s="5" t="s">
        <v>50</v>
      </c>
      <c r="F30" s="3" t="s">
        <v>51</v>
      </c>
      <c r="G30" s="2">
        <v>1</v>
      </c>
      <c r="H30" s="28"/>
      <c r="I30" s="28"/>
      <c r="J30" s="28"/>
      <c r="K30" s="4" t="s">
        <v>52</v>
      </c>
      <c r="L30" s="4" t="s">
        <v>53</v>
      </c>
      <c r="M30" s="4" t="s">
        <v>52</v>
      </c>
      <c r="N30" s="39" t="e">
        <f>K30*M30</f>
        <v>#VALUE!</v>
      </c>
      <c r="O30" s="103"/>
      <c r="P30" s="28"/>
      <c r="Q30" s="28"/>
      <c r="R30" s="53"/>
      <c r="S30" s="148" t="s">
        <v>90</v>
      </c>
      <c r="T30" s="148"/>
      <c r="U30" s="148"/>
      <c r="V30" s="148"/>
    </row>
    <row r="31" spans="1:25" x14ac:dyDescent="0.3">
      <c r="B31" s="34"/>
      <c r="E31" s="5"/>
      <c r="H31" s="28"/>
      <c r="I31" s="28"/>
      <c r="J31" s="28"/>
      <c r="N31" s="27"/>
      <c r="O31" s="103"/>
      <c r="P31" s="28"/>
      <c r="Q31" s="28"/>
      <c r="R31" s="53"/>
    </row>
    <row r="32" spans="1:25" ht="15" thickBot="1" x14ac:dyDescent="0.35">
      <c r="B32" s="40"/>
      <c r="C32" s="41"/>
      <c r="D32" s="42"/>
      <c r="E32" s="43"/>
      <c r="F32" s="44"/>
      <c r="G32" s="42"/>
      <c r="H32" s="45"/>
      <c r="I32" s="45"/>
      <c r="J32" s="45"/>
      <c r="K32" s="42"/>
      <c r="L32" s="42"/>
      <c r="M32" s="42"/>
      <c r="N32" s="46"/>
      <c r="O32" s="103"/>
      <c r="P32" s="28"/>
      <c r="Q32" s="28"/>
      <c r="R32" s="53"/>
    </row>
    <row r="33" spans="2:23" x14ac:dyDescent="0.3">
      <c r="B33" s="67"/>
      <c r="E33" s="5"/>
      <c r="G33" s="27"/>
      <c r="H33" s="28"/>
      <c r="I33" s="28"/>
      <c r="J33" s="28"/>
      <c r="K33" s="30"/>
      <c r="N33" s="27"/>
      <c r="O33" s="103"/>
      <c r="P33" s="24"/>
      <c r="Q33" s="24"/>
      <c r="R33" s="53"/>
    </row>
    <row r="34" spans="2:23" x14ac:dyDescent="0.3">
      <c r="B34" s="29" t="s">
        <v>18</v>
      </c>
      <c r="C34" s="1" t="s">
        <v>60</v>
      </c>
      <c r="E34" s="5" t="s">
        <v>61</v>
      </c>
      <c r="F34" s="3" t="s">
        <v>62</v>
      </c>
      <c r="G34" s="27">
        <v>1</v>
      </c>
      <c r="H34" s="28">
        <v>16</v>
      </c>
      <c r="I34" s="28">
        <v>256</v>
      </c>
      <c r="J34" s="28">
        <v>1</v>
      </c>
      <c r="K34" s="30">
        <v>0</v>
      </c>
      <c r="L34" s="2" t="s">
        <v>21</v>
      </c>
      <c r="M34" s="2">
        <v>0</v>
      </c>
      <c r="N34" s="27">
        <f t="shared" ref="N34:N43" si="9">K34*M34</f>
        <v>0</v>
      </c>
      <c r="O34" s="103">
        <f t="shared" ref="O34:O43" si="10">G34*N34</f>
        <v>0</v>
      </c>
      <c r="P34" s="28">
        <f t="shared" ref="P34:P43" si="11">H34*G34</f>
        <v>16</v>
      </c>
      <c r="Q34" s="28">
        <f t="shared" ref="Q34:Q43" si="12">I34*G34</f>
        <v>256</v>
      </c>
      <c r="R34" s="53"/>
    </row>
    <row r="35" spans="2:23" x14ac:dyDescent="0.3">
      <c r="B35" s="29" t="s">
        <v>22</v>
      </c>
      <c r="C35" s="1" t="s">
        <v>60</v>
      </c>
      <c r="D35" s="2" t="s">
        <v>23</v>
      </c>
      <c r="E35" s="5" t="s">
        <v>24</v>
      </c>
      <c r="F35" s="3" t="s">
        <v>63</v>
      </c>
      <c r="G35" s="27">
        <v>1</v>
      </c>
      <c r="H35" s="28">
        <v>16</v>
      </c>
      <c r="I35" s="28">
        <v>256</v>
      </c>
      <c r="J35" s="28">
        <v>0.5</v>
      </c>
      <c r="K35" s="30">
        <v>8</v>
      </c>
      <c r="L35" s="2" t="s">
        <v>21</v>
      </c>
      <c r="M35" s="2">
        <v>1</v>
      </c>
      <c r="N35" s="27">
        <f t="shared" si="9"/>
        <v>8</v>
      </c>
      <c r="O35" s="103">
        <f t="shared" si="10"/>
        <v>8</v>
      </c>
      <c r="P35" s="28">
        <f t="shared" si="11"/>
        <v>16</v>
      </c>
      <c r="Q35" s="28">
        <f t="shared" si="12"/>
        <v>256</v>
      </c>
      <c r="R35" s="53"/>
    </row>
    <row r="36" spans="2:23" x14ac:dyDescent="0.3">
      <c r="B36" s="29" t="s">
        <v>22</v>
      </c>
      <c r="C36" s="1" t="s">
        <v>60</v>
      </c>
      <c r="D36" s="2" t="s">
        <v>26</v>
      </c>
      <c r="E36" s="5" t="s">
        <v>24</v>
      </c>
      <c r="F36" s="3" t="s">
        <v>64</v>
      </c>
      <c r="G36" s="27">
        <v>3</v>
      </c>
      <c r="H36" s="28">
        <v>32</v>
      </c>
      <c r="I36" s="28">
        <v>512</v>
      </c>
      <c r="J36" s="28">
        <v>0.5</v>
      </c>
      <c r="K36" s="30">
        <v>12</v>
      </c>
      <c r="L36" s="2" t="s">
        <v>21</v>
      </c>
      <c r="M36" s="2">
        <v>2</v>
      </c>
      <c r="N36" s="27">
        <f t="shared" si="9"/>
        <v>24</v>
      </c>
      <c r="O36" s="103">
        <f t="shared" si="10"/>
        <v>72</v>
      </c>
      <c r="P36" s="28">
        <f t="shared" si="11"/>
        <v>96</v>
      </c>
      <c r="Q36" s="28">
        <f t="shared" si="12"/>
        <v>1536</v>
      </c>
      <c r="R36" s="53"/>
    </row>
    <row r="37" spans="2:23" x14ac:dyDescent="0.3">
      <c r="B37" s="29" t="s">
        <v>32</v>
      </c>
      <c r="C37" s="1" t="s">
        <v>60</v>
      </c>
      <c r="D37" s="2" t="s">
        <v>40</v>
      </c>
      <c r="E37" s="1" t="s">
        <v>35</v>
      </c>
      <c r="F37" s="3" t="s">
        <v>65</v>
      </c>
      <c r="G37" s="27">
        <v>1</v>
      </c>
      <c r="H37" s="28">
        <v>16</v>
      </c>
      <c r="I37" s="28">
        <v>256</v>
      </c>
      <c r="J37" s="28">
        <v>0.5</v>
      </c>
      <c r="K37" s="30">
        <v>2</v>
      </c>
      <c r="L37" s="2" t="s">
        <v>21</v>
      </c>
      <c r="M37" s="2">
        <v>2</v>
      </c>
      <c r="N37" s="27">
        <f t="shared" si="9"/>
        <v>4</v>
      </c>
      <c r="O37" s="103">
        <f t="shared" si="10"/>
        <v>4</v>
      </c>
      <c r="P37" s="28">
        <f t="shared" si="11"/>
        <v>16</v>
      </c>
      <c r="Q37" s="28">
        <f t="shared" si="12"/>
        <v>256</v>
      </c>
      <c r="R37" s="53"/>
    </row>
    <row r="38" spans="2:23" x14ac:dyDescent="0.3">
      <c r="B38" s="34" t="s">
        <v>43</v>
      </c>
      <c r="C38" s="5" t="s">
        <v>60</v>
      </c>
      <c r="D38" s="2" t="s">
        <v>23</v>
      </c>
      <c r="E38" s="1" t="s">
        <v>44</v>
      </c>
      <c r="F38" s="3" t="s">
        <v>45</v>
      </c>
      <c r="G38" s="27">
        <v>1</v>
      </c>
      <c r="H38" s="28">
        <v>16</v>
      </c>
      <c r="I38" s="28">
        <v>256</v>
      </c>
      <c r="J38" s="28">
        <v>0.5</v>
      </c>
      <c r="K38" s="30">
        <v>2</v>
      </c>
      <c r="L38" s="2" t="s">
        <v>21</v>
      </c>
      <c r="M38" s="2">
        <v>2</v>
      </c>
      <c r="N38" s="27">
        <f t="shared" si="9"/>
        <v>4</v>
      </c>
      <c r="O38" s="103">
        <f t="shared" si="10"/>
        <v>4</v>
      </c>
      <c r="P38" s="28">
        <f t="shared" si="11"/>
        <v>16</v>
      </c>
      <c r="Q38" s="28">
        <f t="shared" si="12"/>
        <v>256</v>
      </c>
      <c r="R38" s="53"/>
    </row>
    <row r="39" spans="2:23" x14ac:dyDescent="0.3">
      <c r="B39" s="34" t="s">
        <v>46</v>
      </c>
      <c r="C39" s="1" t="s">
        <v>60</v>
      </c>
      <c r="D39" s="35" t="s">
        <v>23</v>
      </c>
      <c r="E39" s="5" t="s">
        <v>47</v>
      </c>
      <c r="F39" s="1" t="s">
        <v>66</v>
      </c>
      <c r="G39" s="27">
        <v>1</v>
      </c>
      <c r="H39" s="28">
        <v>8</v>
      </c>
      <c r="I39" s="28">
        <v>128</v>
      </c>
      <c r="J39" s="28">
        <v>0.5</v>
      </c>
      <c r="K39" s="30">
        <v>2</v>
      </c>
      <c r="L39" s="2" t="s">
        <v>21</v>
      </c>
      <c r="M39" s="2">
        <v>2</v>
      </c>
      <c r="N39" s="27">
        <f t="shared" si="9"/>
        <v>4</v>
      </c>
      <c r="O39" s="103">
        <f t="shared" si="10"/>
        <v>4</v>
      </c>
      <c r="P39" s="28">
        <f t="shared" si="11"/>
        <v>8</v>
      </c>
      <c r="Q39" s="28">
        <f t="shared" si="12"/>
        <v>128</v>
      </c>
      <c r="R39" s="53"/>
    </row>
    <row r="40" spans="2:23" x14ac:dyDescent="0.3">
      <c r="B40" s="34" t="s">
        <v>54</v>
      </c>
      <c r="C40" s="1" t="s">
        <v>60</v>
      </c>
      <c r="E40" s="1" t="s">
        <v>67</v>
      </c>
      <c r="F40" s="3" t="s">
        <v>68</v>
      </c>
      <c r="G40" s="27">
        <v>1</v>
      </c>
      <c r="H40" s="28">
        <v>32</v>
      </c>
      <c r="I40" s="28">
        <v>256</v>
      </c>
      <c r="J40" s="28">
        <v>1</v>
      </c>
      <c r="K40" s="30">
        <v>4</v>
      </c>
      <c r="L40" s="2" t="s">
        <v>21</v>
      </c>
      <c r="M40" s="2">
        <v>4</v>
      </c>
      <c r="N40" s="27">
        <f t="shared" si="9"/>
        <v>16</v>
      </c>
      <c r="O40" s="103">
        <f t="shared" si="10"/>
        <v>16</v>
      </c>
      <c r="P40" s="28">
        <f t="shared" si="11"/>
        <v>32</v>
      </c>
      <c r="Q40" s="28">
        <f t="shared" si="12"/>
        <v>256</v>
      </c>
      <c r="R40" s="53"/>
    </row>
    <row r="41" spans="2:23" x14ac:dyDescent="0.3">
      <c r="B41" s="34" t="s">
        <v>54</v>
      </c>
      <c r="C41" s="1" t="s">
        <v>60</v>
      </c>
      <c r="E41" s="5" t="s">
        <v>58</v>
      </c>
      <c r="F41" s="3" t="s">
        <v>69</v>
      </c>
      <c r="G41" s="27">
        <v>1</v>
      </c>
      <c r="H41" s="28">
        <v>32</v>
      </c>
      <c r="I41" s="28">
        <v>128</v>
      </c>
      <c r="J41" s="28">
        <v>1</v>
      </c>
      <c r="K41" s="30">
        <v>4</v>
      </c>
      <c r="L41" s="2" t="s">
        <v>21</v>
      </c>
      <c r="M41" s="2">
        <v>4</v>
      </c>
      <c r="N41" s="27">
        <f t="shared" si="9"/>
        <v>16</v>
      </c>
      <c r="O41" s="103">
        <f t="shared" si="10"/>
        <v>16</v>
      </c>
      <c r="P41" s="28">
        <f t="shared" si="11"/>
        <v>32</v>
      </c>
      <c r="Q41" s="28">
        <f t="shared" si="12"/>
        <v>128</v>
      </c>
      <c r="R41" s="53"/>
    </row>
    <row r="42" spans="2:23" x14ac:dyDescent="0.3">
      <c r="B42" s="34" t="s">
        <v>54</v>
      </c>
      <c r="C42" s="1" t="s">
        <v>60</v>
      </c>
      <c r="E42" s="5" t="s">
        <v>70</v>
      </c>
      <c r="F42" s="3" t="s">
        <v>71</v>
      </c>
      <c r="G42" s="27">
        <v>1</v>
      </c>
      <c r="H42" s="28">
        <v>16</v>
      </c>
      <c r="I42" s="28">
        <v>256</v>
      </c>
      <c r="J42" s="28">
        <v>1</v>
      </c>
      <c r="K42" s="30">
        <v>3</v>
      </c>
      <c r="L42" s="2" t="s">
        <v>21</v>
      </c>
      <c r="M42" s="2">
        <v>4</v>
      </c>
      <c r="N42" s="27">
        <f t="shared" si="9"/>
        <v>12</v>
      </c>
      <c r="O42" s="103">
        <f t="shared" si="10"/>
        <v>12</v>
      </c>
      <c r="P42" s="28">
        <f t="shared" si="11"/>
        <v>16</v>
      </c>
      <c r="Q42" s="28">
        <f t="shared" si="12"/>
        <v>256</v>
      </c>
      <c r="R42" s="53"/>
    </row>
    <row r="43" spans="2:23" ht="15" thickBot="1" x14ac:dyDescent="0.35">
      <c r="B43" s="34" t="s">
        <v>54</v>
      </c>
      <c r="C43" s="1" t="s">
        <v>60</v>
      </c>
      <c r="E43" s="5" t="s">
        <v>100</v>
      </c>
      <c r="F43" s="3" t="s">
        <v>101</v>
      </c>
      <c r="G43" s="27">
        <v>2</v>
      </c>
      <c r="H43" s="28">
        <v>24</v>
      </c>
      <c r="I43" s="28">
        <v>256</v>
      </c>
      <c r="J43" s="28">
        <v>1</v>
      </c>
      <c r="K43" s="30">
        <v>4</v>
      </c>
      <c r="L43" s="2" t="s">
        <v>21</v>
      </c>
      <c r="M43" s="2">
        <v>4</v>
      </c>
      <c r="N43" s="27">
        <f t="shared" si="9"/>
        <v>16</v>
      </c>
      <c r="O43" s="103">
        <f t="shared" si="10"/>
        <v>32</v>
      </c>
      <c r="P43" s="27">
        <f t="shared" si="11"/>
        <v>48</v>
      </c>
      <c r="Q43" s="27">
        <f t="shared" si="12"/>
        <v>512</v>
      </c>
      <c r="R43" s="53"/>
    </row>
    <row r="44" spans="2:23" s="84" customFormat="1" ht="15" thickBot="1" x14ac:dyDescent="0.35">
      <c r="B44" s="77" t="s">
        <v>54</v>
      </c>
      <c r="C44" s="78" t="s">
        <v>60</v>
      </c>
      <c r="D44" s="79"/>
      <c r="E44" s="78" t="s">
        <v>74</v>
      </c>
      <c r="F44" s="78" t="s">
        <v>73</v>
      </c>
      <c r="G44" s="80">
        <v>1</v>
      </c>
      <c r="H44" s="80">
        <v>64</v>
      </c>
      <c r="I44" s="80">
        <v>512</v>
      </c>
      <c r="J44" s="80">
        <v>1</v>
      </c>
      <c r="K44" s="82">
        <v>20</v>
      </c>
      <c r="L44" s="79" t="s">
        <v>21</v>
      </c>
      <c r="M44" s="79">
        <v>7</v>
      </c>
      <c r="N44" s="81">
        <v>140</v>
      </c>
      <c r="O44" s="103">
        <f>G44*1</f>
        <v>1</v>
      </c>
      <c r="P44" s="81"/>
      <c r="Q44" s="81"/>
      <c r="R44" s="83"/>
      <c r="S44" s="150" t="s">
        <v>109</v>
      </c>
      <c r="T44" s="151"/>
      <c r="U44" s="151"/>
      <c r="V44" s="152"/>
      <c r="W44"/>
    </row>
    <row r="45" spans="2:23" x14ac:dyDescent="0.3">
      <c r="B45" s="54"/>
      <c r="C45" s="55" t="s">
        <v>77</v>
      </c>
      <c r="D45" s="55"/>
      <c r="E45" s="55" t="s">
        <v>77</v>
      </c>
      <c r="F45" s="55" t="s">
        <v>77</v>
      </c>
      <c r="G45" s="57">
        <f>SUM(G34:G42)</f>
        <v>11</v>
      </c>
      <c r="H45" s="56"/>
      <c r="I45" s="56"/>
      <c r="J45" s="56"/>
      <c r="K45" s="58"/>
      <c r="L45" s="57"/>
      <c r="M45" s="57"/>
      <c r="N45" s="57">
        <f>SUM(N34:N42)</f>
        <v>88</v>
      </c>
      <c r="O45" s="106">
        <f>SUM(O34:O43)</f>
        <v>168</v>
      </c>
      <c r="P45" s="57">
        <f>SUM(P34:P43)</f>
        <v>296</v>
      </c>
      <c r="Q45" s="57">
        <f>SUM(Q34:Q43)</f>
        <v>3840</v>
      </c>
      <c r="R45" s="56">
        <f>N45*G45</f>
        <v>968</v>
      </c>
      <c r="S45" s="96"/>
      <c r="T45" s="97" t="s">
        <v>86</v>
      </c>
      <c r="U45" s="98">
        <v>0.2</v>
      </c>
      <c r="V45" s="97" t="s">
        <v>87</v>
      </c>
    </row>
    <row r="46" spans="2:23" ht="15" thickBot="1" x14ac:dyDescent="0.35">
      <c r="B46" s="60"/>
      <c r="C46" s="61" t="s">
        <v>75</v>
      </c>
      <c r="D46" s="61"/>
      <c r="E46" s="61" t="s">
        <v>75</v>
      </c>
      <c r="F46" s="61" t="s">
        <v>75</v>
      </c>
      <c r="G46" s="63">
        <v>6</v>
      </c>
      <c r="H46" s="62">
        <v>64</v>
      </c>
      <c r="I46" s="62">
        <v>512</v>
      </c>
      <c r="J46" s="62">
        <v>1</v>
      </c>
      <c r="K46" s="64">
        <v>14</v>
      </c>
      <c r="L46" s="63" t="s">
        <v>21</v>
      </c>
      <c r="M46" s="63">
        <v>12</v>
      </c>
      <c r="N46" s="65">
        <f t="shared" ref="N46" si="13">K46*M46</f>
        <v>168</v>
      </c>
      <c r="O46" s="105">
        <f>O45*3</f>
        <v>504</v>
      </c>
      <c r="P46" s="62"/>
      <c r="Q46" s="62"/>
      <c r="R46" s="62"/>
      <c r="S46" s="72" t="s">
        <v>2</v>
      </c>
      <c r="T46" s="95">
        <f>P45</f>
        <v>296</v>
      </c>
      <c r="U46" s="120">
        <f>T46*1.2</f>
        <v>355.2</v>
      </c>
      <c r="V46" s="95">
        <f>U46/96</f>
        <v>3.6999999999999997</v>
      </c>
    </row>
    <row r="47" spans="2:23" ht="15" thickBot="1" x14ac:dyDescent="0.35">
      <c r="B47" s="29"/>
      <c r="G47" s="27"/>
      <c r="H47" s="28"/>
      <c r="I47" s="28"/>
      <c r="J47" s="28"/>
      <c r="K47" s="30"/>
      <c r="N47" s="27"/>
      <c r="O47" s="103"/>
      <c r="P47" s="45"/>
      <c r="Q47" s="45"/>
      <c r="R47" s="53"/>
      <c r="S47" s="73" t="s">
        <v>88</v>
      </c>
      <c r="T47" s="95">
        <f>Q45</f>
        <v>3840</v>
      </c>
      <c r="U47" s="120">
        <f>T47*1.2</f>
        <v>4608</v>
      </c>
      <c r="V47" s="95">
        <f>U47/4</f>
        <v>1152</v>
      </c>
    </row>
    <row r="48" spans="2:23" ht="15" thickBot="1" x14ac:dyDescent="0.35">
      <c r="B48" s="47" t="s">
        <v>72</v>
      </c>
      <c r="C48" s="48"/>
      <c r="D48" s="49"/>
      <c r="E48" s="49"/>
      <c r="F48" s="50"/>
      <c r="G48" s="51"/>
      <c r="H48" s="14"/>
      <c r="I48" s="14"/>
      <c r="J48" s="14"/>
      <c r="K48" s="52"/>
      <c r="L48" s="49"/>
      <c r="M48" s="49"/>
      <c r="N48" s="51"/>
      <c r="O48" s="107"/>
      <c r="P48" s="51"/>
      <c r="Q48" s="51"/>
      <c r="R48" s="68"/>
      <c r="S48" s="73" t="s">
        <v>89</v>
      </c>
      <c r="T48" s="95">
        <f>O46</f>
        <v>504</v>
      </c>
      <c r="U48" s="120">
        <f>T48*1.2</f>
        <v>604.79999999999995</v>
      </c>
      <c r="V48" s="120">
        <f>U48/4</f>
        <v>151.19999999999999</v>
      </c>
    </row>
    <row r="49" spans="1:22" x14ac:dyDescent="0.3">
      <c r="E49" s="5"/>
      <c r="S49" s="145" t="s">
        <v>90</v>
      </c>
      <c r="T49" s="146"/>
      <c r="U49" s="146"/>
      <c r="V49" s="147"/>
    </row>
    <row r="50" spans="1:22" x14ac:dyDescent="0.3">
      <c r="B50"/>
      <c r="C50"/>
      <c r="E50"/>
    </row>
    <row r="51" spans="1:22" x14ac:dyDescent="0.3">
      <c r="B51"/>
      <c r="C51"/>
      <c r="E51"/>
    </row>
    <row r="52" spans="1:22" x14ac:dyDescent="0.3">
      <c r="B52"/>
      <c r="C52"/>
      <c r="E52"/>
    </row>
    <row r="53" spans="1:22" x14ac:dyDescent="0.3">
      <c r="B53"/>
      <c r="C53"/>
      <c r="E53"/>
    </row>
    <row r="54" spans="1:22" x14ac:dyDescent="0.3">
      <c r="B54"/>
      <c r="C54"/>
    </row>
    <row r="55" spans="1:22" x14ac:dyDescent="0.3">
      <c r="B55"/>
      <c r="C55"/>
      <c r="E55" s="5"/>
      <c r="G55" s="70"/>
    </row>
    <row r="56" spans="1:22" x14ac:dyDescent="0.3">
      <c r="C56"/>
      <c r="E56" s="5"/>
      <c r="F56" s="5"/>
    </row>
    <row r="57" spans="1:22" x14ac:dyDescent="0.3">
      <c r="C57"/>
      <c r="E57" s="5"/>
      <c r="F57" s="5"/>
    </row>
    <row r="58" spans="1:22" x14ac:dyDescent="0.3">
      <c r="A58" s="2"/>
      <c r="B58" s="2"/>
    </row>
    <row r="59" spans="1:22" s="2" customFormat="1" x14ac:dyDescent="0.3">
      <c r="C59" s="1"/>
      <c r="F59" s="3"/>
      <c r="O59" s="99"/>
      <c r="R59"/>
      <c r="S59"/>
      <c r="T59"/>
    </row>
    <row r="60" spans="1:22" s="2" customFormat="1" x14ac:dyDescent="0.3">
      <c r="C60" s="1"/>
      <c r="E60" s="5"/>
      <c r="F60" s="5"/>
      <c r="O60" s="99"/>
      <c r="R60"/>
      <c r="S60"/>
      <c r="T60"/>
    </row>
    <row r="61" spans="1:22" x14ac:dyDescent="0.3">
      <c r="A61" s="2"/>
      <c r="B61" s="2"/>
    </row>
    <row r="62" spans="1:22" s="2" customFormat="1" x14ac:dyDescent="0.3">
      <c r="C62" s="1"/>
      <c r="F62" s="3"/>
      <c r="O62" s="99"/>
      <c r="R62"/>
      <c r="S62"/>
      <c r="T62"/>
    </row>
    <row r="63" spans="1:22" s="2" customFormat="1" x14ac:dyDescent="0.3">
      <c r="C63" s="1"/>
      <c r="F63" s="3"/>
      <c r="O63" s="99"/>
      <c r="R63"/>
      <c r="S63"/>
      <c r="T63"/>
    </row>
    <row r="64" spans="1:22" s="2" customFormat="1" x14ac:dyDescent="0.3">
      <c r="C64" s="1"/>
      <c r="E64" s="5"/>
      <c r="F64" s="3"/>
      <c r="G64" s="70"/>
      <c r="O64" s="99"/>
      <c r="R64"/>
      <c r="S64"/>
      <c r="T64"/>
    </row>
    <row r="65" spans="1:20" s="2" customFormat="1" x14ac:dyDescent="0.3">
      <c r="C65"/>
      <c r="E65" s="5"/>
      <c r="F65" s="5"/>
      <c r="O65" s="99"/>
      <c r="R65"/>
      <c r="S65"/>
      <c r="T65"/>
    </row>
    <row r="66" spans="1:20" x14ac:dyDescent="0.3">
      <c r="A66" s="2"/>
      <c r="B66" s="2"/>
    </row>
  </sheetData>
  <autoFilter ref="B4:F18" xr:uid="{10600EEE-DC2B-4046-B500-E4162339E275}"/>
  <mergeCells count="19">
    <mergeCell ref="W18:Y18"/>
    <mergeCell ref="V27:V29"/>
    <mergeCell ref="S49:V49"/>
    <mergeCell ref="S30:V30"/>
    <mergeCell ref="A5:A8"/>
    <mergeCell ref="A11:A19"/>
    <mergeCell ref="A22:A26"/>
    <mergeCell ref="S6:V6"/>
    <mergeCell ref="S11:V11"/>
    <mergeCell ref="S23:V23"/>
    <mergeCell ref="S44:V44"/>
    <mergeCell ref="S25:V25"/>
    <mergeCell ref="S18:V18"/>
    <mergeCell ref="H2:N2"/>
    <mergeCell ref="P2:R2"/>
    <mergeCell ref="H3:H4"/>
    <mergeCell ref="I3:I4"/>
    <mergeCell ref="K3:N3"/>
    <mergeCell ref="P3:R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965A-E6C0-4A88-891A-970F03EF1AE0}">
  <sheetPr>
    <tabColor rgb="FF00B050"/>
  </sheetPr>
  <dimension ref="A1:AE66"/>
  <sheetViews>
    <sheetView tabSelected="1" topLeftCell="N1" workbookViewId="0">
      <pane ySplit="4" topLeftCell="A12" activePane="bottomLeft" state="frozen"/>
      <selection pane="bottomLeft" activeCell="AE21" sqref="AE21"/>
    </sheetView>
  </sheetViews>
  <sheetFormatPr defaultRowHeight="14.4" x14ac:dyDescent="0.3"/>
  <cols>
    <col min="2" max="2" width="22.5546875" style="1" bestFit="1" customWidth="1"/>
    <col min="3" max="3" width="16" style="1" bestFit="1" customWidth="1"/>
    <col min="4" max="4" width="7.44140625" style="2" customWidth="1"/>
    <col min="5" max="5" width="38.109375" style="2" bestFit="1" customWidth="1"/>
    <col min="6" max="6" width="43.109375" style="3" bestFit="1" customWidth="1"/>
    <col min="7" max="7" width="15.33203125" style="2" hidden="1" customWidth="1"/>
    <col min="8" max="8" width="12.88671875" style="2" hidden="1" customWidth="1"/>
    <col min="9" max="11" width="6.109375" style="79" customWidth="1"/>
    <col min="12" max="12" width="7.88671875" style="79" bestFit="1" customWidth="1"/>
    <col min="13" max="14" width="8.33203125" style="2" customWidth="1"/>
    <col min="15" max="15" width="13.6640625" style="2" bestFit="1" customWidth="1"/>
    <col min="16" max="16" width="5.6640625" style="2" customWidth="1"/>
    <col min="17" max="17" width="9.44140625" style="2" bestFit="1" customWidth="1"/>
    <col min="18" max="18" width="6.44140625" style="2" customWidth="1"/>
    <col min="19" max="19" width="8.33203125" style="2" bestFit="1" customWidth="1"/>
    <col min="20" max="20" width="8.33203125" style="108" customWidth="1"/>
    <col min="21" max="21" width="5.6640625" style="2" bestFit="1" customWidth="1"/>
    <col min="22" max="22" width="6.88671875" style="2" customWidth="1"/>
    <col min="23" max="23" width="13.33203125" bestFit="1" customWidth="1"/>
    <col min="25" max="25" width="10.33203125" bestFit="1" customWidth="1"/>
    <col min="28" max="28" width="16.6640625" bestFit="1" customWidth="1"/>
    <col min="31" max="31" width="19.5546875" customWidth="1"/>
  </cols>
  <sheetData>
    <row r="1" spans="1:28" ht="15" thickBot="1" x14ac:dyDescent="0.35"/>
    <row r="2" spans="1:28" ht="15" thickBot="1" x14ac:dyDescent="0.35">
      <c r="C2" s="3"/>
      <c r="D2" s="3"/>
      <c r="E2" s="5"/>
      <c r="M2" s="132" t="s">
        <v>0</v>
      </c>
      <c r="N2" s="133"/>
      <c r="O2" s="133"/>
      <c r="P2" s="133"/>
      <c r="Q2" s="133"/>
      <c r="R2" s="133"/>
      <c r="S2" s="134"/>
      <c r="T2" s="109"/>
      <c r="U2" s="135"/>
      <c r="V2" s="135"/>
      <c r="W2" s="136"/>
    </row>
    <row r="3" spans="1:28" ht="15" thickBot="1" x14ac:dyDescent="0.35">
      <c r="G3" s="162" t="s">
        <v>1</v>
      </c>
      <c r="H3" s="163"/>
      <c r="I3" s="162" t="s">
        <v>13</v>
      </c>
      <c r="J3" s="164"/>
      <c r="K3" s="164"/>
      <c r="L3" s="163"/>
      <c r="M3" s="137" t="s">
        <v>2</v>
      </c>
      <c r="N3" s="139" t="s">
        <v>3</v>
      </c>
      <c r="O3" s="6" t="s">
        <v>4</v>
      </c>
      <c r="P3" s="141" t="s">
        <v>5</v>
      </c>
      <c r="Q3" s="135"/>
      <c r="R3" s="135"/>
      <c r="S3" s="136"/>
      <c r="T3" s="110"/>
      <c r="U3" s="141" t="s">
        <v>7</v>
      </c>
      <c r="V3" s="135"/>
      <c r="W3" s="136"/>
    </row>
    <row r="4" spans="1:28" ht="43.8" thickBot="1" x14ac:dyDescent="0.35">
      <c r="B4" s="7" t="s">
        <v>8</v>
      </c>
      <c r="C4" s="8" t="s">
        <v>9</v>
      </c>
      <c r="D4" s="9" t="s">
        <v>10</v>
      </c>
      <c r="E4" s="10" t="s">
        <v>11</v>
      </c>
      <c r="F4" s="11" t="s">
        <v>12</v>
      </c>
      <c r="G4" s="12" t="s">
        <v>6</v>
      </c>
      <c r="H4" s="13" t="s">
        <v>7</v>
      </c>
      <c r="I4" s="75" t="s">
        <v>13</v>
      </c>
      <c r="J4" s="75" t="s">
        <v>2</v>
      </c>
      <c r="K4" s="75" t="s">
        <v>3</v>
      </c>
      <c r="L4" s="75" t="s">
        <v>94</v>
      </c>
      <c r="M4" s="138"/>
      <c r="N4" s="140"/>
      <c r="O4" s="15" t="s">
        <v>14</v>
      </c>
      <c r="P4" s="16" t="s">
        <v>15</v>
      </c>
      <c r="Q4" s="17" t="s">
        <v>10</v>
      </c>
      <c r="R4" s="17" t="s">
        <v>16</v>
      </c>
      <c r="S4" s="122" t="s">
        <v>105</v>
      </c>
      <c r="T4" s="111" t="s">
        <v>103</v>
      </c>
      <c r="U4" s="15" t="s">
        <v>2</v>
      </c>
      <c r="V4" s="15" t="s">
        <v>3</v>
      </c>
      <c r="W4" s="6" t="s">
        <v>76</v>
      </c>
    </row>
    <row r="5" spans="1:28" ht="15" thickBot="1" x14ac:dyDescent="0.35">
      <c r="A5" s="149" t="s">
        <v>91</v>
      </c>
      <c r="B5" s="29" t="s">
        <v>22</v>
      </c>
      <c r="C5" s="1" t="s">
        <v>19</v>
      </c>
      <c r="D5" s="2" t="s">
        <v>23</v>
      </c>
      <c r="E5" s="5" t="s">
        <v>24</v>
      </c>
      <c r="F5" s="3" t="s">
        <v>25</v>
      </c>
      <c r="G5" s="28">
        <v>3</v>
      </c>
      <c r="H5" s="2">
        <v>3</v>
      </c>
      <c r="I5" s="31">
        <v>3</v>
      </c>
      <c r="J5" s="31">
        <f>I5*M5</f>
        <v>48</v>
      </c>
      <c r="K5" s="31">
        <f>I5*N5</f>
        <v>768</v>
      </c>
      <c r="L5" s="39"/>
      <c r="M5" s="28">
        <v>16</v>
      </c>
      <c r="N5" s="28">
        <v>256</v>
      </c>
      <c r="O5" s="28">
        <v>0.5</v>
      </c>
      <c r="P5" s="30">
        <v>8</v>
      </c>
      <c r="Q5" s="2" t="s">
        <v>21</v>
      </c>
      <c r="R5" s="2">
        <v>1</v>
      </c>
      <c r="S5" s="27">
        <f t="shared" ref="S5:S18" si="0">P5*R5</f>
        <v>8</v>
      </c>
      <c r="T5" s="112">
        <f>I5*S5</f>
        <v>24</v>
      </c>
      <c r="U5" s="28">
        <f>M5*H5</f>
        <v>48</v>
      </c>
      <c r="V5" s="28">
        <f>N5*H5</f>
        <v>768</v>
      </c>
      <c r="W5" s="53"/>
    </row>
    <row r="6" spans="1:28" ht="15" thickBot="1" x14ac:dyDescent="0.35">
      <c r="A6" s="149"/>
      <c r="B6" s="29" t="s">
        <v>22</v>
      </c>
      <c r="C6" s="1" t="s">
        <v>19</v>
      </c>
      <c r="D6" s="2" t="s">
        <v>26</v>
      </c>
      <c r="E6" s="5" t="s">
        <v>24</v>
      </c>
      <c r="F6" s="3" t="s">
        <v>27</v>
      </c>
      <c r="G6" s="28">
        <v>9</v>
      </c>
      <c r="H6" s="2">
        <v>21</v>
      </c>
      <c r="I6" s="31">
        <v>10</v>
      </c>
      <c r="J6" s="31">
        <f>I6*M6</f>
        <v>320</v>
      </c>
      <c r="K6" s="31">
        <f>I6*N6</f>
        <v>5120</v>
      </c>
      <c r="L6" s="39"/>
      <c r="M6" s="28">
        <v>32</v>
      </c>
      <c r="N6" s="28">
        <v>512</v>
      </c>
      <c r="O6" s="28">
        <v>0.5</v>
      </c>
      <c r="P6" s="30">
        <v>12</v>
      </c>
      <c r="Q6" s="2" t="s">
        <v>21</v>
      </c>
      <c r="R6" s="2">
        <v>2</v>
      </c>
      <c r="S6" s="27">
        <f t="shared" si="0"/>
        <v>24</v>
      </c>
      <c r="T6" s="112">
        <f>I6*S6</f>
        <v>240</v>
      </c>
      <c r="U6" s="28">
        <f>M6*H6</f>
        <v>672</v>
      </c>
      <c r="V6" s="28">
        <f>N6*H6</f>
        <v>10752</v>
      </c>
      <c r="W6" s="53"/>
      <c r="Y6" s="150" t="s">
        <v>96</v>
      </c>
      <c r="Z6" s="151"/>
      <c r="AA6" s="151"/>
      <c r="AB6" s="152"/>
    </row>
    <row r="7" spans="1:28" x14ac:dyDescent="0.3">
      <c r="A7" s="149"/>
      <c r="B7" s="29" t="s">
        <v>22</v>
      </c>
      <c r="C7" s="1" t="s">
        <v>19</v>
      </c>
      <c r="D7" s="2" t="s">
        <v>28</v>
      </c>
      <c r="E7" s="5" t="s">
        <v>24</v>
      </c>
      <c r="F7" s="3" t="s">
        <v>29</v>
      </c>
      <c r="G7" s="28">
        <v>3</v>
      </c>
      <c r="H7" s="2">
        <v>3</v>
      </c>
      <c r="I7" s="31">
        <v>1</v>
      </c>
      <c r="J7" s="31">
        <f t="shared" ref="J7:J8" si="1">I7*M7</f>
        <v>32</v>
      </c>
      <c r="K7" s="31">
        <f t="shared" ref="K7:K8" si="2">I7*N7</f>
        <v>512</v>
      </c>
      <c r="L7" s="39"/>
      <c r="M7" s="28">
        <v>32</v>
      </c>
      <c r="N7" s="28">
        <v>512</v>
      </c>
      <c r="O7" s="28">
        <v>0.5</v>
      </c>
      <c r="P7" s="30">
        <v>4</v>
      </c>
      <c r="Q7" s="2" t="s">
        <v>21</v>
      </c>
      <c r="R7" s="2">
        <v>4</v>
      </c>
      <c r="S7" s="27">
        <f t="shared" si="0"/>
        <v>16</v>
      </c>
      <c r="T7" s="112">
        <f>I7*S7</f>
        <v>16</v>
      </c>
      <c r="U7" s="28">
        <f>M7*H7</f>
        <v>96</v>
      </c>
      <c r="V7" s="28">
        <f>N7*H7</f>
        <v>1536</v>
      </c>
      <c r="W7" s="53"/>
      <c r="Y7" s="92"/>
      <c r="Z7" s="93" t="s">
        <v>86</v>
      </c>
      <c r="AA7" s="94">
        <v>0.2</v>
      </c>
      <c r="AB7" s="93" t="s">
        <v>95</v>
      </c>
    </row>
    <row r="8" spans="1:28" ht="15" thickBot="1" x14ac:dyDescent="0.35">
      <c r="A8" s="149"/>
      <c r="B8" s="29" t="s">
        <v>22</v>
      </c>
      <c r="C8" s="1" t="s">
        <v>19</v>
      </c>
      <c r="D8" s="2" t="s">
        <v>30</v>
      </c>
      <c r="E8" s="5" t="s">
        <v>24</v>
      </c>
      <c r="F8" s="3" t="s">
        <v>31</v>
      </c>
      <c r="G8" s="28">
        <v>3</v>
      </c>
      <c r="H8" s="2">
        <v>3</v>
      </c>
      <c r="I8" s="31">
        <v>1</v>
      </c>
      <c r="J8" s="31">
        <f t="shared" si="1"/>
        <v>16</v>
      </c>
      <c r="K8" s="31">
        <f t="shared" si="2"/>
        <v>256</v>
      </c>
      <c r="L8" s="39"/>
      <c r="M8" s="28">
        <v>16</v>
      </c>
      <c r="N8" s="28">
        <v>256</v>
      </c>
      <c r="O8" s="28">
        <v>0.5</v>
      </c>
      <c r="P8" s="30">
        <v>4</v>
      </c>
      <c r="Q8" s="2" t="s">
        <v>21</v>
      </c>
      <c r="R8" s="2">
        <v>1</v>
      </c>
      <c r="S8" s="27">
        <f t="shared" si="0"/>
        <v>4</v>
      </c>
      <c r="T8" s="112">
        <f>I8*S8</f>
        <v>4</v>
      </c>
      <c r="U8" s="28">
        <f>M8*H8</f>
        <v>48</v>
      </c>
      <c r="V8" s="28">
        <f>N8*H8</f>
        <v>768</v>
      </c>
      <c r="W8" s="53"/>
      <c r="Y8" s="72" t="s">
        <v>2</v>
      </c>
      <c r="Z8" s="71">
        <f>J9</f>
        <v>416</v>
      </c>
      <c r="AA8" s="123">
        <f>Z8*1.2</f>
        <v>499.2</v>
      </c>
      <c r="AB8" s="71">
        <f>AA8/96</f>
        <v>5.2</v>
      </c>
    </row>
    <row r="9" spans="1:28" x14ac:dyDescent="0.3">
      <c r="B9" s="54"/>
      <c r="C9" s="55" t="s">
        <v>77</v>
      </c>
      <c r="D9" s="55"/>
      <c r="E9" s="55" t="s">
        <v>77</v>
      </c>
      <c r="F9" s="55" t="s">
        <v>77</v>
      </c>
      <c r="G9" s="56"/>
      <c r="H9" s="57">
        <f>SUM(H5:H8)</f>
        <v>30</v>
      </c>
      <c r="I9" s="69"/>
      <c r="J9" s="69">
        <f>SUM(J5:J8)</f>
        <v>416</v>
      </c>
      <c r="K9" s="69">
        <f>SUM(K5:K8)</f>
        <v>6656</v>
      </c>
      <c r="L9" s="69"/>
      <c r="M9" s="56"/>
      <c r="N9" s="56"/>
      <c r="O9" s="56"/>
      <c r="P9" s="58"/>
      <c r="Q9" s="57"/>
      <c r="R9" s="57"/>
      <c r="S9" s="59"/>
      <c r="T9" s="113">
        <f>SUM(T5:T8)</f>
        <v>284</v>
      </c>
      <c r="U9" s="59">
        <f t="shared" ref="U9:V9" si="3">SUM(U5:U8)</f>
        <v>864</v>
      </c>
      <c r="V9" s="59">
        <f t="shared" si="3"/>
        <v>13824</v>
      </c>
      <c r="W9" s="56">
        <f>S9*H9</f>
        <v>0</v>
      </c>
      <c r="Y9" s="73" t="s">
        <v>88</v>
      </c>
      <c r="Z9" s="71">
        <f>K9</f>
        <v>6656</v>
      </c>
      <c r="AA9" s="123">
        <f>Z9*1.2</f>
        <v>7987.2</v>
      </c>
      <c r="AB9" s="123">
        <f>AA9/5</f>
        <v>1597.44</v>
      </c>
    </row>
    <row r="10" spans="1:28" ht="15" thickBot="1" x14ac:dyDescent="0.35">
      <c r="B10" s="60"/>
      <c r="C10" s="61" t="s">
        <v>75</v>
      </c>
      <c r="D10" s="61"/>
      <c r="E10" s="61" t="s">
        <v>75</v>
      </c>
      <c r="F10" s="61" t="s">
        <v>75</v>
      </c>
      <c r="G10" s="62"/>
      <c r="H10" s="63">
        <v>15</v>
      </c>
      <c r="I10" s="76"/>
      <c r="J10" s="76"/>
      <c r="K10" s="76"/>
      <c r="L10" s="76"/>
      <c r="M10" s="62">
        <v>64</v>
      </c>
      <c r="N10" s="62">
        <v>1024</v>
      </c>
      <c r="O10" s="62">
        <v>1</v>
      </c>
      <c r="P10" s="64">
        <v>14</v>
      </c>
      <c r="Q10" s="63" t="s">
        <v>21</v>
      </c>
      <c r="R10" s="63">
        <v>8</v>
      </c>
      <c r="S10" s="65">
        <f t="shared" ref="S10" si="4">P10*R10</f>
        <v>112</v>
      </c>
      <c r="T10" s="114">
        <f>T9*3</f>
        <v>852</v>
      </c>
      <c r="U10" s="62"/>
      <c r="V10" s="62"/>
      <c r="W10" s="62"/>
      <c r="Y10" s="73" t="s">
        <v>89</v>
      </c>
      <c r="Z10" s="74">
        <f>T10</f>
        <v>852</v>
      </c>
      <c r="AA10" s="121">
        <f>Z10*1.2</f>
        <v>1022.4</v>
      </c>
      <c r="AB10" s="121">
        <f>AA10/5</f>
        <v>204.48</v>
      </c>
    </row>
    <row r="11" spans="1:28" ht="18" customHeight="1" x14ac:dyDescent="0.3">
      <c r="A11" s="149" t="s">
        <v>92</v>
      </c>
      <c r="B11" s="29"/>
      <c r="C11" s="66"/>
      <c r="D11" s="66"/>
      <c r="E11" s="66"/>
      <c r="F11" s="66"/>
      <c r="G11" s="28"/>
      <c r="I11" s="38"/>
      <c r="J11" s="38"/>
      <c r="K11" s="38"/>
      <c r="L11" s="38"/>
      <c r="M11" s="25"/>
      <c r="N11" s="24"/>
      <c r="O11" s="24"/>
      <c r="S11" s="27"/>
      <c r="T11" s="112"/>
      <c r="U11" s="28"/>
      <c r="V11" s="28"/>
      <c r="W11" s="30"/>
      <c r="Y11" s="145" t="s">
        <v>90</v>
      </c>
      <c r="Z11" s="146"/>
      <c r="AA11" s="146"/>
      <c r="AB11" s="147"/>
    </row>
    <row r="12" spans="1:28" x14ac:dyDescent="0.3">
      <c r="A12" s="149"/>
      <c r="B12" s="29" t="s">
        <v>32</v>
      </c>
      <c r="C12" s="1" t="s">
        <v>19</v>
      </c>
      <c r="D12" s="2" t="s">
        <v>23</v>
      </c>
      <c r="E12" s="1" t="s">
        <v>33</v>
      </c>
      <c r="F12" s="3" t="s">
        <v>34</v>
      </c>
      <c r="G12" s="28">
        <v>1</v>
      </c>
      <c r="H12" s="2">
        <v>1</v>
      </c>
      <c r="I12" s="38">
        <v>1</v>
      </c>
      <c r="J12" s="38">
        <f>I12*M12</f>
        <v>8</v>
      </c>
      <c r="K12" s="38">
        <f>J12*N12</f>
        <v>1024</v>
      </c>
      <c r="L12" s="38"/>
      <c r="M12" s="28">
        <v>8</v>
      </c>
      <c r="N12" s="28">
        <v>128</v>
      </c>
      <c r="O12" s="28">
        <v>0.5</v>
      </c>
      <c r="P12" s="2">
        <v>2</v>
      </c>
      <c r="Q12" s="2" t="s">
        <v>21</v>
      </c>
      <c r="R12" s="2">
        <v>2</v>
      </c>
      <c r="S12" s="27">
        <f t="shared" si="0"/>
        <v>4</v>
      </c>
      <c r="T12" s="112">
        <f>I12*S12</f>
        <v>4</v>
      </c>
      <c r="U12" s="28">
        <f t="shared" ref="U12:U19" si="5">M12*H12</f>
        <v>8</v>
      </c>
      <c r="V12" s="28">
        <f t="shared" ref="V12:V19" si="6">N12*H12</f>
        <v>128</v>
      </c>
      <c r="W12" s="53"/>
    </row>
    <row r="13" spans="1:28" x14ac:dyDescent="0.3">
      <c r="A13" s="149"/>
      <c r="B13" s="29" t="s">
        <v>32</v>
      </c>
      <c r="C13" s="1" t="s">
        <v>19</v>
      </c>
      <c r="D13" s="2" t="s">
        <v>26</v>
      </c>
      <c r="E13" s="1" t="s">
        <v>35</v>
      </c>
      <c r="F13" s="3" t="s">
        <v>36</v>
      </c>
      <c r="G13" s="28">
        <v>1</v>
      </c>
      <c r="H13" s="2">
        <v>1</v>
      </c>
      <c r="I13" s="38">
        <v>1</v>
      </c>
      <c r="J13" s="38">
        <f t="shared" ref="J13:J19" si="7">I13*M13</f>
        <v>8</v>
      </c>
      <c r="K13" s="38">
        <f>J13*N13</f>
        <v>1024</v>
      </c>
      <c r="L13" s="38"/>
      <c r="M13" s="28">
        <v>8</v>
      </c>
      <c r="N13" s="28">
        <v>128</v>
      </c>
      <c r="O13" s="28">
        <v>0.5</v>
      </c>
      <c r="P13" s="2">
        <v>2</v>
      </c>
      <c r="Q13" s="2" t="s">
        <v>21</v>
      </c>
      <c r="R13" s="2">
        <v>4</v>
      </c>
      <c r="S13" s="27">
        <f t="shared" si="0"/>
        <v>8</v>
      </c>
      <c r="T13" s="112">
        <f t="shared" ref="T13:T19" si="8">I13*S13</f>
        <v>8</v>
      </c>
      <c r="U13" s="28">
        <f t="shared" si="5"/>
        <v>8</v>
      </c>
      <c r="V13" s="28">
        <f t="shared" si="6"/>
        <v>128</v>
      </c>
      <c r="W13" s="53"/>
    </row>
    <row r="14" spans="1:28" x14ac:dyDescent="0.3">
      <c r="A14" s="149"/>
      <c r="B14" s="29" t="s">
        <v>32</v>
      </c>
      <c r="C14" s="1" t="s">
        <v>19</v>
      </c>
      <c r="D14" s="2" t="s">
        <v>28</v>
      </c>
      <c r="E14" s="1" t="s">
        <v>35</v>
      </c>
      <c r="F14" s="3" t="s">
        <v>37</v>
      </c>
      <c r="G14" s="28">
        <v>1</v>
      </c>
      <c r="H14" s="2">
        <v>1</v>
      </c>
      <c r="I14" s="38">
        <v>1</v>
      </c>
      <c r="J14" s="38">
        <f t="shared" si="7"/>
        <v>4</v>
      </c>
      <c r="K14" s="38">
        <f>I14*N14</f>
        <v>64</v>
      </c>
      <c r="L14" s="38"/>
      <c r="M14" s="28">
        <v>4</v>
      </c>
      <c r="N14" s="28">
        <v>64</v>
      </c>
      <c r="O14" s="28">
        <v>0.5</v>
      </c>
      <c r="P14" s="2">
        <v>2</v>
      </c>
      <c r="Q14" s="2" t="s">
        <v>21</v>
      </c>
      <c r="R14" s="2">
        <v>2</v>
      </c>
      <c r="S14" s="27">
        <f t="shared" si="0"/>
        <v>4</v>
      </c>
      <c r="T14" s="112">
        <f t="shared" si="8"/>
        <v>4</v>
      </c>
      <c r="U14" s="28">
        <f t="shared" si="5"/>
        <v>4</v>
      </c>
      <c r="V14" s="28">
        <f t="shared" si="6"/>
        <v>64</v>
      </c>
      <c r="W14" s="53"/>
    </row>
    <row r="15" spans="1:28" x14ac:dyDescent="0.3">
      <c r="A15" s="149"/>
      <c r="B15" s="29" t="s">
        <v>32</v>
      </c>
      <c r="C15" s="1" t="s">
        <v>19</v>
      </c>
      <c r="D15" s="2" t="s">
        <v>30</v>
      </c>
      <c r="E15" s="1" t="s">
        <v>38</v>
      </c>
      <c r="F15" s="3" t="s">
        <v>39</v>
      </c>
      <c r="G15" s="28">
        <v>1</v>
      </c>
      <c r="H15" s="2">
        <v>1</v>
      </c>
      <c r="I15" s="38">
        <v>1</v>
      </c>
      <c r="J15" s="38">
        <f t="shared" si="7"/>
        <v>4</v>
      </c>
      <c r="K15" s="38">
        <v>64</v>
      </c>
      <c r="L15" s="38"/>
      <c r="M15" s="28">
        <v>4</v>
      </c>
      <c r="N15" s="28">
        <v>64</v>
      </c>
      <c r="O15" s="28">
        <v>0.5</v>
      </c>
      <c r="P15" s="2">
        <v>2</v>
      </c>
      <c r="Q15" s="2" t="s">
        <v>21</v>
      </c>
      <c r="R15" s="2">
        <v>1</v>
      </c>
      <c r="S15" s="27">
        <f t="shared" si="0"/>
        <v>2</v>
      </c>
      <c r="T15" s="112">
        <f t="shared" si="8"/>
        <v>2</v>
      </c>
      <c r="U15" s="28">
        <f t="shared" si="5"/>
        <v>4</v>
      </c>
      <c r="V15" s="28">
        <f t="shared" si="6"/>
        <v>64</v>
      </c>
      <c r="W15" s="53"/>
    </row>
    <row r="16" spans="1:28" x14ac:dyDescent="0.3">
      <c r="A16" s="149"/>
      <c r="B16" s="29" t="s">
        <v>32</v>
      </c>
      <c r="C16" s="1" t="s">
        <v>19</v>
      </c>
      <c r="D16" s="2" t="s">
        <v>40</v>
      </c>
      <c r="E16" s="1" t="s">
        <v>41</v>
      </c>
      <c r="F16" s="3" t="s">
        <v>42</v>
      </c>
      <c r="G16" s="28">
        <v>1</v>
      </c>
      <c r="H16" s="2">
        <v>3</v>
      </c>
      <c r="I16" s="38">
        <v>1</v>
      </c>
      <c r="J16" s="38">
        <f t="shared" si="7"/>
        <v>16</v>
      </c>
      <c r="K16" s="38">
        <v>256</v>
      </c>
      <c r="L16" s="38"/>
      <c r="M16" s="28">
        <v>16</v>
      </c>
      <c r="N16" s="28">
        <v>256</v>
      </c>
      <c r="O16" s="28">
        <v>0.5</v>
      </c>
      <c r="P16" s="2">
        <v>2</v>
      </c>
      <c r="Q16" s="2" t="s">
        <v>21</v>
      </c>
      <c r="R16" s="2">
        <v>2</v>
      </c>
      <c r="S16" s="27">
        <f t="shared" si="0"/>
        <v>4</v>
      </c>
      <c r="T16" s="112">
        <f t="shared" si="8"/>
        <v>4</v>
      </c>
      <c r="U16" s="28">
        <f t="shared" si="5"/>
        <v>48</v>
      </c>
      <c r="V16" s="28">
        <f t="shared" si="6"/>
        <v>768</v>
      </c>
      <c r="W16" s="53"/>
    </row>
    <row r="17" spans="1:31" ht="15" thickBot="1" x14ac:dyDescent="0.35">
      <c r="A17" s="149"/>
      <c r="B17" s="34" t="s">
        <v>43</v>
      </c>
      <c r="C17" s="5" t="s">
        <v>19</v>
      </c>
      <c r="D17" s="2" t="s">
        <v>23</v>
      </c>
      <c r="E17" s="1" t="s">
        <v>78</v>
      </c>
      <c r="F17" s="3" t="s">
        <v>79</v>
      </c>
      <c r="G17" s="28">
        <v>2</v>
      </c>
      <c r="H17" s="2">
        <v>2</v>
      </c>
      <c r="I17" s="38">
        <v>1</v>
      </c>
      <c r="J17" s="38">
        <f t="shared" si="7"/>
        <v>16</v>
      </c>
      <c r="K17" s="38">
        <v>256</v>
      </c>
      <c r="L17" s="38"/>
      <c r="M17" s="28">
        <v>16</v>
      </c>
      <c r="N17" s="28">
        <v>256</v>
      </c>
      <c r="O17" s="28">
        <v>0.5</v>
      </c>
      <c r="P17" s="2">
        <v>2</v>
      </c>
      <c r="Q17" s="2" t="s">
        <v>21</v>
      </c>
      <c r="R17" s="2">
        <v>2</v>
      </c>
      <c r="S17" s="27">
        <f t="shared" si="0"/>
        <v>4</v>
      </c>
      <c r="T17" s="112">
        <f t="shared" si="8"/>
        <v>4</v>
      </c>
      <c r="U17" s="28">
        <f t="shared" si="5"/>
        <v>32</v>
      </c>
      <c r="V17" s="28">
        <f t="shared" si="6"/>
        <v>512</v>
      </c>
      <c r="W17" s="53"/>
    </row>
    <row r="18" spans="1:31" ht="15" thickBot="1" x14ac:dyDescent="0.35">
      <c r="A18" s="149"/>
      <c r="B18" s="34" t="s">
        <v>46</v>
      </c>
      <c r="C18" s="1" t="s">
        <v>19</v>
      </c>
      <c r="D18" s="35" t="s">
        <v>23</v>
      </c>
      <c r="E18" s="36" t="s">
        <v>80</v>
      </c>
      <c r="F18" s="37" t="s">
        <v>48</v>
      </c>
      <c r="G18" s="28">
        <v>3</v>
      </c>
      <c r="H18" s="2">
        <v>5</v>
      </c>
      <c r="I18" s="38">
        <v>2</v>
      </c>
      <c r="J18" s="38">
        <f t="shared" si="7"/>
        <v>32</v>
      </c>
      <c r="K18" s="38">
        <v>128</v>
      </c>
      <c r="L18" s="38"/>
      <c r="M18" s="28">
        <v>16</v>
      </c>
      <c r="N18" s="28">
        <v>128</v>
      </c>
      <c r="O18" s="28">
        <v>0.5</v>
      </c>
      <c r="P18" s="2">
        <v>2</v>
      </c>
      <c r="Q18" s="2" t="s">
        <v>21</v>
      </c>
      <c r="R18" s="2">
        <v>1</v>
      </c>
      <c r="S18" s="27">
        <f t="shared" si="0"/>
        <v>2</v>
      </c>
      <c r="T18" s="112">
        <f t="shared" si="8"/>
        <v>4</v>
      </c>
      <c r="U18" s="28">
        <f t="shared" si="5"/>
        <v>80</v>
      </c>
      <c r="V18" s="28">
        <f t="shared" si="6"/>
        <v>640</v>
      </c>
      <c r="W18" s="53"/>
      <c r="Y18" s="150" t="s">
        <v>99</v>
      </c>
      <c r="Z18" s="151"/>
      <c r="AA18" s="151"/>
      <c r="AB18" s="152"/>
      <c r="AC18" s="156" t="s">
        <v>107</v>
      </c>
      <c r="AD18" s="157"/>
      <c r="AE18" s="158"/>
    </row>
    <row r="19" spans="1:31" ht="15" thickBot="1" x14ac:dyDescent="0.35">
      <c r="A19" s="149"/>
      <c r="B19" s="34" t="s">
        <v>54</v>
      </c>
      <c r="C19" s="1" t="s">
        <v>19</v>
      </c>
      <c r="E19" s="5" t="s">
        <v>58</v>
      </c>
      <c r="F19" s="3" t="s">
        <v>59</v>
      </c>
      <c r="G19" s="28">
        <v>3</v>
      </c>
      <c r="H19" s="2">
        <v>3</v>
      </c>
      <c r="I19" s="38">
        <v>1</v>
      </c>
      <c r="J19" s="38">
        <f t="shared" si="7"/>
        <v>16</v>
      </c>
      <c r="K19" s="38">
        <v>128</v>
      </c>
      <c r="L19" s="38"/>
      <c r="M19" s="28">
        <v>16</v>
      </c>
      <c r="N19" s="28">
        <v>128</v>
      </c>
      <c r="O19" s="28">
        <v>1</v>
      </c>
      <c r="P19" s="2">
        <v>4</v>
      </c>
      <c r="Q19" s="2" t="s">
        <v>53</v>
      </c>
      <c r="R19" s="2">
        <v>4</v>
      </c>
      <c r="S19" s="27">
        <f>P19*R19</f>
        <v>16</v>
      </c>
      <c r="T19" s="112">
        <f t="shared" si="8"/>
        <v>16</v>
      </c>
      <c r="U19" s="28">
        <f t="shared" si="5"/>
        <v>48</v>
      </c>
      <c r="V19" s="28">
        <f t="shared" si="6"/>
        <v>384</v>
      </c>
      <c r="W19" s="53"/>
      <c r="Y19" s="92"/>
      <c r="Z19" s="93" t="s">
        <v>86</v>
      </c>
      <c r="AA19" s="94">
        <v>0.2</v>
      </c>
      <c r="AB19" s="93" t="s">
        <v>87</v>
      </c>
      <c r="AC19" s="71" t="s">
        <v>2</v>
      </c>
      <c r="AD19" s="123">
        <f>AA20+AA27</f>
        <v>278.39999999999998</v>
      </c>
      <c r="AE19" s="71">
        <f>AD19/96</f>
        <v>2.9</v>
      </c>
    </row>
    <row r="20" spans="1:31" x14ac:dyDescent="0.3">
      <c r="B20" s="54"/>
      <c r="C20" s="55" t="s">
        <v>77</v>
      </c>
      <c r="D20" s="55"/>
      <c r="E20" s="55" t="s">
        <v>77</v>
      </c>
      <c r="F20" s="55" t="s">
        <v>77</v>
      </c>
      <c r="G20" s="56"/>
      <c r="H20" s="57">
        <f>SUM(H12:H19)</f>
        <v>17</v>
      </c>
      <c r="I20" s="69"/>
      <c r="J20" s="69">
        <f>SUM(J12:J19)</f>
        <v>104</v>
      </c>
      <c r="K20" s="69">
        <f>SUM(K12:K19)</f>
        <v>2944</v>
      </c>
      <c r="L20" s="69">
        <v>44</v>
      </c>
      <c r="M20" s="56"/>
      <c r="N20" s="56"/>
      <c r="O20" s="56"/>
      <c r="P20" s="58"/>
      <c r="Q20" s="57"/>
      <c r="R20" s="57"/>
      <c r="S20" s="59">
        <f>SUM(S12:S19)</f>
        <v>44</v>
      </c>
      <c r="T20" s="113">
        <f>SUM(T12:T19)</f>
        <v>46</v>
      </c>
      <c r="U20" s="59">
        <f>SUM(U12:U19)</f>
        <v>232</v>
      </c>
      <c r="V20" s="59">
        <f>SUM(V12:V19)</f>
        <v>2688</v>
      </c>
      <c r="W20" s="56">
        <f>S20*H20</f>
        <v>748</v>
      </c>
      <c r="Y20" s="72" t="s">
        <v>2</v>
      </c>
      <c r="Z20" s="71">
        <f>J20</f>
        <v>104</v>
      </c>
      <c r="AA20" s="123">
        <f>Z20*1.2</f>
        <v>124.8</v>
      </c>
      <c r="AB20" s="71"/>
      <c r="AC20" s="71" t="s">
        <v>88</v>
      </c>
      <c r="AD20" s="123">
        <f>AA21+AA28</f>
        <v>4608</v>
      </c>
      <c r="AE20" s="123">
        <f>AD20/3</f>
        <v>1536</v>
      </c>
    </row>
    <row r="21" spans="1:31" ht="15" thickBot="1" x14ac:dyDescent="0.35">
      <c r="B21" s="60"/>
      <c r="C21" s="61" t="s">
        <v>75</v>
      </c>
      <c r="D21" s="61"/>
      <c r="E21" s="61" t="s">
        <v>75</v>
      </c>
      <c r="F21" s="61" t="s">
        <v>75</v>
      </c>
      <c r="G21" s="62"/>
      <c r="H21" s="63">
        <v>9</v>
      </c>
      <c r="I21" s="76"/>
      <c r="J21" s="76"/>
      <c r="K21" s="76"/>
      <c r="L21" s="76"/>
      <c r="M21" s="62">
        <v>32</v>
      </c>
      <c r="N21" s="62">
        <v>320</v>
      </c>
      <c r="O21" s="62">
        <v>1</v>
      </c>
      <c r="P21" s="64">
        <v>10</v>
      </c>
      <c r="Q21" s="63" t="s">
        <v>21</v>
      </c>
      <c r="R21" s="63">
        <v>8</v>
      </c>
      <c r="S21" s="65">
        <f t="shared" ref="S21" si="9">P21*R21</f>
        <v>80</v>
      </c>
      <c r="T21" s="114">
        <f>T20*3</f>
        <v>138</v>
      </c>
      <c r="U21" s="62"/>
      <c r="V21" s="62"/>
      <c r="W21" s="62"/>
      <c r="Y21" s="73" t="s">
        <v>88</v>
      </c>
      <c r="Z21" s="71">
        <f>K20</f>
        <v>2944</v>
      </c>
      <c r="AA21" s="123">
        <f>Z21*1.2</f>
        <v>3532.7999999999997</v>
      </c>
      <c r="AB21" s="71"/>
      <c r="AC21" s="71" t="s">
        <v>89</v>
      </c>
      <c r="AD21" s="123">
        <f>AA22+AA29</f>
        <v>259.2</v>
      </c>
      <c r="AE21" s="123">
        <f>AD21/3</f>
        <v>86.399999999999991</v>
      </c>
    </row>
    <row r="22" spans="1:31" x14ac:dyDescent="0.3">
      <c r="A22" s="149" t="s">
        <v>93</v>
      </c>
      <c r="B22" s="19" t="s">
        <v>18</v>
      </c>
      <c r="C22" s="20" t="s">
        <v>19</v>
      </c>
      <c r="D22" s="21"/>
      <c r="E22" s="22" t="s">
        <v>20</v>
      </c>
      <c r="F22" s="23"/>
      <c r="G22" s="24">
        <v>2</v>
      </c>
      <c r="H22" s="21">
        <v>2</v>
      </c>
      <c r="I22" s="69">
        <v>1</v>
      </c>
      <c r="J22" s="31">
        <v>32</v>
      </c>
      <c r="K22" s="31">
        <v>256</v>
      </c>
      <c r="L22" s="31"/>
      <c r="M22" s="28">
        <v>32</v>
      </c>
      <c r="N22" s="28">
        <v>256</v>
      </c>
      <c r="O22" s="24">
        <v>1</v>
      </c>
      <c r="P22" s="25">
        <v>0</v>
      </c>
      <c r="Q22" s="21" t="s">
        <v>21</v>
      </c>
      <c r="R22" s="21">
        <v>0</v>
      </c>
      <c r="S22" s="26">
        <f>P22*R22</f>
        <v>0</v>
      </c>
      <c r="T22" s="112">
        <f>I22*S22</f>
        <v>0</v>
      </c>
      <c r="U22" s="28">
        <f>M22*H22</f>
        <v>64</v>
      </c>
      <c r="V22" s="28">
        <f>N22*H22</f>
        <v>512</v>
      </c>
      <c r="W22" s="53"/>
      <c r="Y22" s="73" t="s">
        <v>89</v>
      </c>
      <c r="Z22" s="74">
        <f>T21</f>
        <v>138</v>
      </c>
      <c r="AA22" s="121">
        <f>Z22*1.2</f>
        <v>165.6</v>
      </c>
      <c r="AB22" s="74"/>
      <c r="AC22" s="71"/>
      <c r="AD22" s="71"/>
      <c r="AE22" s="71"/>
    </row>
    <row r="23" spans="1:31" x14ac:dyDescent="0.3">
      <c r="A23" s="149"/>
      <c r="B23" s="34" t="s">
        <v>54</v>
      </c>
      <c r="C23" s="1" t="s">
        <v>19</v>
      </c>
      <c r="D23" s="35"/>
      <c r="E23" s="5" t="s">
        <v>85</v>
      </c>
      <c r="F23" s="1" t="s">
        <v>55</v>
      </c>
      <c r="G23" s="28">
        <v>2</v>
      </c>
      <c r="H23" s="2">
        <v>2</v>
      </c>
      <c r="I23" s="31">
        <v>1</v>
      </c>
      <c r="J23" s="31">
        <v>32</v>
      </c>
      <c r="K23" s="31">
        <v>256</v>
      </c>
      <c r="L23" s="31"/>
      <c r="M23" s="28">
        <v>32</v>
      </c>
      <c r="N23" s="28">
        <v>256</v>
      </c>
      <c r="O23" s="28">
        <v>1</v>
      </c>
      <c r="P23" s="30">
        <v>4</v>
      </c>
      <c r="Q23" s="2" t="s">
        <v>21</v>
      </c>
      <c r="R23" s="2">
        <v>2</v>
      </c>
      <c r="S23" s="27">
        <f>P23*R23</f>
        <v>8</v>
      </c>
      <c r="T23" s="112">
        <f t="shared" ref="T23:T26" si="10">I23*S23</f>
        <v>8</v>
      </c>
      <c r="U23" s="28">
        <f>M23*H23</f>
        <v>64</v>
      </c>
      <c r="V23" s="28">
        <f>N23*H23</f>
        <v>512</v>
      </c>
      <c r="W23" s="53"/>
      <c r="Y23" s="145" t="s">
        <v>90</v>
      </c>
      <c r="Z23" s="146"/>
      <c r="AA23" s="146"/>
      <c r="AB23" s="147"/>
      <c r="AC23" s="71"/>
      <c r="AD23" s="71"/>
      <c r="AE23" s="71"/>
    </row>
    <row r="24" spans="1:31" ht="15" thickBot="1" x14ac:dyDescent="0.35">
      <c r="A24" s="149"/>
      <c r="B24" s="34" t="s">
        <v>54</v>
      </c>
      <c r="C24" s="1" t="s">
        <v>19</v>
      </c>
      <c r="E24" s="5" t="s">
        <v>56</v>
      </c>
      <c r="F24" s="3" t="s">
        <v>57</v>
      </c>
      <c r="G24" s="28">
        <v>2</v>
      </c>
      <c r="H24" s="2">
        <v>2</v>
      </c>
      <c r="I24" s="31">
        <v>1</v>
      </c>
      <c r="J24" s="31">
        <v>16</v>
      </c>
      <c r="K24" s="31">
        <v>128</v>
      </c>
      <c r="L24" s="31"/>
      <c r="M24" s="28">
        <v>16</v>
      </c>
      <c r="N24" s="28">
        <v>128</v>
      </c>
      <c r="O24" s="28">
        <v>1</v>
      </c>
      <c r="P24" s="30">
        <v>2</v>
      </c>
      <c r="Q24" s="2" t="s">
        <v>21</v>
      </c>
      <c r="R24" s="2">
        <v>1</v>
      </c>
      <c r="S24" s="27">
        <f>P24*R24</f>
        <v>2</v>
      </c>
      <c r="T24" s="112">
        <f t="shared" si="10"/>
        <v>2</v>
      </c>
      <c r="U24" s="28">
        <f>M24*H24</f>
        <v>32</v>
      </c>
      <c r="V24" s="28">
        <f>N24*H24</f>
        <v>256</v>
      </c>
      <c r="W24" s="53"/>
    </row>
    <row r="25" spans="1:31" s="84" customFormat="1" ht="15" thickBot="1" x14ac:dyDescent="0.35">
      <c r="A25" s="149"/>
      <c r="B25" s="85" t="s">
        <v>54</v>
      </c>
      <c r="C25" s="78" t="s">
        <v>19</v>
      </c>
      <c r="D25" s="79"/>
      <c r="E25" s="86" t="s">
        <v>81</v>
      </c>
      <c r="F25" s="87" t="s">
        <v>82</v>
      </c>
      <c r="G25" s="80">
        <v>1</v>
      </c>
      <c r="H25" s="79">
        <v>1</v>
      </c>
      <c r="I25" s="80">
        <v>1</v>
      </c>
      <c r="J25" s="80">
        <v>16</v>
      </c>
      <c r="K25" s="80">
        <v>128</v>
      </c>
      <c r="L25" s="80"/>
      <c r="M25" s="80">
        <v>16</v>
      </c>
      <c r="N25" s="80">
        <v>128</v>
      </c>
      <c r="O25" s="80"/>
      <c r="P25" s="82">
        <v>4</v>
      </c>
      <c r="Q25" s="79" t="s">
        <v>21</v>
      </c>
      <c r="R25" s="79">
        <v>2</v>
      </c>
      <c r="S25" s="81">
        <f>P25*R25</f>
        <v>8</v>
      </c>
      <c r="T25" s="112">
        <f t="shared" si="10"/>
        <v>8</v>
      </c>
      <c r="U25" s="80"/>
      <c r="V25" s="80"/>
      <c r="W25" s="83"/>
      <c r="Y25" s="153" t="s">
        <v>104</v>
      </c>
      <c r="Z25" s="154"/>
      <c r="AA25" s="154"/>
      <c r="AB25" s="155"/>
    </row>
    <row r="26" spans="1:31" s="84" customFormat="1" ht="15" thickBot="1" x14ac:dyDescent="0.35">
      <c r="A26" s="149"/>
      <c r="B26" s="85" t="s">
        <v>54</v>
      </c>
      <c r="C26" s="78" t="s">
        <v>19</v>
      </c>
      <c r="D26" s="79"/>
      <c r="E26" s="86" t="s">
        <v>83</v>
      </c>
      <c r="F26" s="87" t="s">
        <v>84</v>
      </c>
      <c r="G26" s="80">
        <v>2</v>
      </c>
      <c r="H26" s="79">
        <v>2</v>
      </c>
      <c r="I26" s="80">
        <v>1</v>
      </c>
      <c r="J26" s="80">
        <v>32</v>
      </c>
      <c r="K26" s="80">
        <v>128</v>
      </c>
      <c r="L26" s="80"/>
      <c r="M26" s="80">
        <v>32</v>
      </c>
      <c r="N26" s="80">
        <v>128</v>
      </c>
      <c r="O26" s="80"/>
      <c r="P26" s="82">
        <v>4</v>
      </c>
      <c r="Q26" s="79" t="s">
        <v>21</v>
      </c>
      <c r="R26" s="79">
        <v>2</v>
      </c>
      <c r="S26" s="81">
        <f>P26*R26</f>
        <v>8</v>
      </c>
      <c r="T26" s="112">
        <f t="shared" si="10"/>
        <v>8</v>
      </c>
      <c r="U26" s="80"/>
      <c r="V26" s="80"/>
      <c r="W26" s="83"/>
      <c r="Y26" s="117"/>
      <c r="Z26" s="118" t="s">
        <v>86</v>
      </c>
      <c r="AA26" s="119">
        <v>0.2</v>
      </c>
      <c r="AB26" s="118" t="s">
        <v>87</v>
      </c>
    </row>
    <row r="27" spans="1:31" x14ac:dyDescent="0.3">
      <c r="B27" s="54"/>
      <c r="C27" s="55" t="s">
        <v>77</v>
      </c>
      <c r="D27" s="55"/>
      <c r="E27" s="55" t="s">
        <v>77</v>
      </c>
      <c r="F27" s="55" t="s">
        <v>77</v>
      </c>
      <c r="G27" s="56"/>
      <c r="H27" s="57">
        <f>SUM(H22:H26)</f>
        <v>9</v>
      </c>
      <c r="I27" s="69"/>
      <c r="J27" s="69">
        <f>SUM(J22:J26)</f>
        <v>128</v>
      </c>
      <c r="K27" s="69">
        <f>SUM(K22:K26)</f>
        <v>896</v>
      </c>
      <c r="L27" s="69">
        <v>10</v>
      </c>
      <c r="M27" s="56"/>
      <c r="N27" s="56"/>
      <c r="O27" s="56"/>
      <c r="P27" s="58"/>
      <c r="Q27" s="57"/>
      <c r="R27" s="57"/>
      <c r="S27" s="57">
        <f>SUM(S23:S26)</f>
        <v>26</v>
      </c>
      <c r="T27" s="115">
        <f>SUM(T22:T26)</f>
        <v>26</v>
      </c>
      <c r="U27" s="57">
        <f>SUM(U23:U26)</f>
        <v>96</v>
      </c>
      <c r="V27" s="57">
        <f>SUM(V23:V26)</f>
        <v>768</v>
      </c>
      <c r="W27" s="56">
        <f>S27*H27</f>
        <v>234</v>
      </c>
      <c r="Y27" s="72" t="s">
        <v>2</v>
      </c>
      <c r="Z27" s="71">
        <f>J27</f>
        <v>128</v>
      </c>
      <c r="AA27" s="123">
        <f>Z27*1.2</f>
        <v>153.6</v>
      </c>
      <c r="AB27" s="71"/>
    </row>
    <row r="28" spans="1:31" ht="15" thickBot="1" x14ac:dyDescent="0.35">
      <c r="B28" s="60"/>
      <c r="C28" s="61" t="s">
        <v>75</v>
      </c>
      <c r="D28" s="61"/>
      <c r="E28" s="61" t="s">
        <v>75</v>
      </c>
      <c r="F28" s="61" t="s">
        <v>75</v>
      </c>
      <c r="G28" s="62"/>
      <c r="H28" s="63">
        <v>4</v>
      </c>
      <c r="I28" s="76"/>
      <c r="J28" s="76"/>
      <c r="K28" s="76"/>
      <c r="L28" s="76"/>
      <c r="M28" s="62"/>
      <c r="N28" s="62"/>
      <c r="O28" s="62">
        <v>1</v>
      </c>
      <c r="P28" s="64">
        <v>4</v>
      </c>
      <c r="Q28" s="63" t="s">
        <v>21</v>
      </c>
      <c r="R28" s="63">
        <v>8</v>
      </c>
      <c r="S28" s="65">
        <f t="shared" ref="S28" si="11">P28*R28</f>
        <v>32</v>
      </c>
      <c r="T28" s="114">
        <f>T27*3</f>
        <v>78</v>
      </c>
      <c r="U28" s="62"/>
      <c r="V28" s="62"/>
      <c r="W28" s="62"/>
      <c r="Y28" s="73" t="s">
        <v>88</v>
      </c>
      <c r="Z28" s="71">
        <f>K27</f>
        <v>896</v>
      </c>
      <c r="AA28" s="123">
        <f>Z28*1.2</f>
        <v>1075.2</v>
      </c>
      <c r="AB28" s="71"/>
    </row>
    <row r="29" spans="1:31" x14ac:dyDescent="0.3">
      <c r="B29" s="34"/>
      <c r="E29" s="5"/>
      <c r="G29" s="28"/>
      <c r="I29" s="82"/>
      <c r="J29" s="82"/>
      <c r="K29" s="82"/>
      <c r="L29" s="82"/>
      <c r="M29" s="28"/>
      <c r="N29" s="28"/>
      <c r="O29" s="28"/>
      <c r="S29" s="27"/>
      <c r="T29" s="112"/>
      <c r="U29" s="28"/>
      <c r="V29" s="28"/>
      <c r="W29" s="53"/>
      <c r="Y29" s="73" t="s">
        <v>89</v>
      </c>
      <c r="Z29" s="74">
        <f>T28</f>
        <v>78</v>
      </c>
      <c r="AA29" s="121">
        <f>Z29*1.2</f>
        <v>93.6</v>
      </c>
      <c r="AB29" s="74"/>
    </row>
    <row r="30" spans="1:31" x14ac:dyDescent="0.3">
      <c r="B30" s="34" t="s">
        <v>49</v>
      </c>
      <c r="C30" s="1" t="s">
        <v>19</v>
      </c>
      <c r="E30" s="5" t="s">
        <v>50</v>
      </c>
      <c r="F30" s="3" t="s">
        <v>51</v>
      </c>
      <c r="G30" s="28">
        <v>1</v>
      </c>
      <c r="H30" s="2">
        <v>1</v>
      </c>
      <c r="I30" s="82">
        <v>1</v>
      </c>
      <c r="J30" s="82"/>
      <c r="K30" s="82"/>
      <c r="L30" s="82"/>
      <c r="M30" s="28"/>
      <c r="N30" s="28"/>
      <c r="O30" s="28"/>
      <c r="P30" s="4" t="s">
        <v>52</v>
      </c>
      <c r="Q30" s="4" t="s">
        <v>53</v>
      </c>
      <c r="R30" s="4" t="s">
        <v>52</v>
      </c>
      <c r="S30" s="39" t="e">
        <f>P30*R30</f>
        <v>#VALUE!</v>
      </c>
      <c r="T30" s="112"/>
      <c r="U30" s="28"/>
      <c r="V30" s="28"/>
      <c r="W30" s="53"/>
      <c r="Y30" s="145" t="s">
        <v>90</v>
      </c>
      <c r="Z30" s="146"/>
      <c r="AA30" s="146"/>
      <c r="AB30" s="147"/>
    </row>
    <row r="31" spans="1:31" x14ac:dyDescent="0.3">
      <c r="B31" s="34"/>
      <c r="E31" s="5"/>
      <c r="G31" s="28"/>
      <c r="I31" s="82"/>
      <c r="J31" s="82"/>
      <c r="K31" s="82"/>
      <c r="L31" s="82"/>
      <c r="M31" s="28"/>
      <c r="N31" s="28"/>
      <c r="O31" s="28"/>
      <c r="S31" s="27"/>
      <c r="T31" s="112"/>
      <c r="U31" s="28"/>
      <c r="V31" s="28"/>
      <c r="W31" s="53"/>
    </row>
    <row r="32" spans="1:31" ht="15" thickBot="1" x14ac:dyDescent="0.35">
      <c r="B32" s="40"/>
      <c r="C32" s="41"/>
      <c r="D32" s="42"/>
      <c r="E32" s="43"/>
      <c r="F32" s="44"/>
      <c r="G32" s="45"/>
      <c r="H32" s="42"/>
      <c r="I32" s="90"/>
      <c r="J32" s="90"/>
      <c r="K32" s="90"/>
      <c r="L32" s="90"/>
      <c r="M32" s="45"/>
      <c r="N32" s="45"/>
      <c r="O32" s="45"/>
      <c r="P32" s="42"/>
      <c r="Q32" s="42"/>
      <c r="R32" s="42"/>
      <c r="S32" s="46"/>
      <c r="T32" s="112"/>
      <c r="U32" s="28"/>
      <c r="V32" s="28"/>
      <c r="W32" s="53"/>
    </row>
    <row r="33" spans="2:28" x14ac:dyDescent="0.3">
      <c r="B33" s="67"/>
      <c r="E33" s="5"/>
      <c r="G33" s="28"/>
      <c r="H33" s="27"/>
      <c r="I33" s="81"/>
      <c r="J33" s="81"/>
      <c r="K33" s="81"/>
      <c r="L33" s="81"/>
      <c r="M33" s="28"/>
      <c r="N33" s="28"/>
      <c r="O33" s="28"/>
      <c r="P33" s="30"/>
      <c r="S33" s="27"/>
      <c r="T33" s="112"/>
      <c r="U33" s="24"/>
      <c r="V33" s="24"/>
      <c r="W33" s="53"/>
    </row>
    <row r="34" spans="2:28" x14ac:dyDescent="0.3">
      <c r="B34" s="29" t="s">
        <v>18</v>
      </c>
      <c r="C34" s="1" t="s">
        <v>60</v>
      </c>
      <c r="E34" s="5" t="s">
        <v>61</v>
      </c>
      <c r="F34" s="3" t="s">
        <v>62</v>
      </c>
      <c r="G34" s="28">
        <v>1</v>
      </c>
      <c r="H34" s="27">
        <v>1</v>
      </c>
      <c r="I34" s="81">
        <v>0</v>
      </c>
      <c r="J34" s="81"/>
      <c r="K34" s="81"/>
      <c r="L34" s="81"/>
      <c r="M34" s="28">
        <v>16</v>
      </c>
      <c r="N34" s="28">
        <v>256</v>
      </c>
      <c r="O34" s="28">
        <v>1</v>
      </c>
      <c r="P34" s="30">
        <v>0</v>
      </c>
      <c r="Q34" s="2" t="s">
        <v>21</v>
      </c>
      <c r="R34" s="2">
        <v>0</v>
      </c>
      <c r="S34" s="27">
        <f t="shared" ref="S34:S43" si="12">P34*R34</f>
        <v>0</v>
      </c>
      <c r="T34" s="112"/>
      <c r="U34" s="28">
        <f t="shared" ref="U34:U43" si="13">M34*H34</f>
        <v>16</v>
      </c>
      <c r="V34" s="28">
        <f t="shared" ref="V34:V43" si="14">N34*H34</f>
        <v>256</v>
      </c>
      <c r="W34" s="53"/>
    </row>
    <row r="35" spans="2:28" x14ac:dyDescent="0.3">
      <c r="B35" s="29" t="s">
        <v>22</v>
      </c>
      <c r="C35" s="1" t="s">
        <v>60</v>
      </c>
      <c r="D35" s="2" t="s">
        <v>23</v>
      </c>
      <c r="E35" s="5" t="s">
        <v>24</v>
      </c>
      <c r="F35" s="3" t="s">
        <v>63</v>
      </c>
      <c r="G35" s="28">
        <v>1</v>
      </c>
      <c r="H35" s="27">
        <v>1</v>
      </c>
      <c r="I35" s="81">
        <v>0</v>
      </c>
      <c r="J35" s="81"/>
      <c r="K35" s="81"/>
      <c r="L35" s="81"/>
      <c r="M35" s="28">
        <v>16</v>
      </c>
      <c r="N35" s="28">
        <v>256</v>
      </c>
      <c r="O35" s="28">
        <v>0.5</v>
      </c>
      <c r="P35" s="30">
        <v>8</v>
      </c>
      <c r="Q35" s="2" t="s">
        <v>21</v>
      </c>
      <c r="R35" s="2">
        <v>1</v>
      </c>
      <c r="S35" s="27">
        <f t="shared" si="12"/>
        <v>8</v>
      </c>
      <c r="T35" s="112"/>
      <c r="U35" s="28">
        <f t="shared" si="13"/>
        <v>16</v>
      </c>
      <c r="V35" s="28">
        <f t="shared" si="14"/>
        <v>256</v>
      </c>
      <c r="W35" s="53"/>
    </row>
    <row r="36" spans="2:28" x14ac:dyDescent="0.3">
      <c r="B36" s="29" t="s">
        <v>22</v>
      </c>
      <c r="C36" s="1" t="s">
        <v>60</v>
      </c>
      <c r="D36" s="2" t="s">
        <v>26</v>
      </c>
      <c r="E36" s="5" t="s">
        <v>24</v>
      </c>
      <c r="F36" s="3" t="s">
        <v>64</v>
      </c>
      <c r="G36" s="28">
        <v>3</v>
      </c>
      <c r="H36" s="27">
        <v>3</v>
      </c>
      <c r="I36" s="81">
        <v>0</v>
      </c>
      <c r="J36" s="81"/>
      <c r="K36" s="81"/>
      <c r="L36" s="81"/>
      <c r="M36" s="28">
        <v>32</v>
      </c>
      <c r="N36" s="28">
        <v>512</v>
      </c>
      <c r="O36" s="28">
        <v>0.5</v>
      </c>
      <c r="P36" s="30">
        <v>12</v>
      </c>
      <c r="Q36" s="2" t="s">
        <v>21</v>
      </c>
      <c r="R36" s="2">
        <v>2</v>
      </c>
      <c r="S36" s="27">
        <f t="shared" si="12"/>
        <v>24</v>
      </c>
      <c r="T36" s="112"/>
      <c r="U36" s="28">
        <f t="shared" si="13"/>
        <v>96</v>
      </c>
      <c r="V36" s="28">
        <f t="shared" si="14"/>
        <v>1536</v>
      </c>
      <c r="W36" s="53"/>
    </row>
    <row r="37" spans="2:28" x14ac:dyDescent="0.3">
      <c r="B37" s="29" t="s">
        <v>32</v>
      </c>
      <c r="C37" s="1" t="s">
        <v>60</v>
      </c>
      <c r="D37" s="2" t="s">
        <v>40</v>
      </c>
      <c r="E37" s="1" t="s">
        <v>35</v>
      </c>
      <c r="F37" s="3" t="s">
        <v>65</v>
      </c>
      <c r="G37" s="28">
        <v>1</v>
      </c>
      <c r="H37" s="27">
        <v>1</v>
      </c>
      <c r="I37" s="81">
        <v>0</v>
      </c>
      <c r="J37" s="81"/>
      <c r="K37" s="81"/>
      <c r="L37" s="81"/>
      <c r="M37" s="28">
        <v>16</v>
      </c>
      <c r="N37" s="28">
        <v>256</v>
      </c>
      <c r="O37" s="28">
        <v>0.5</v>
      </c>
      <c r="P37" s="30">
        <v>2</v>
      </c>
      <c r="Q37" s="2" t="s">
        <v>21</v>
      </c>
      <c r="R37" s="2">
        <v>2</v>
      </c>
      <c r="S37" s="27">
        <f t="shared" si="12"/>
        <v>4</v>
      </c>
      <c r="T37" s="112"/>
      <c r="U37" s="28">
        <f t="shared" si="13"/>
        <v>16</v>
      </c>
      <c r="V37" s="28">
        <f t="shared" si="14"/>
        <v>256</v>
      </c>
      <c r="W37" s="53"/>
    </row>
    <row r="38" spans="2:28" x14ac:dyDescent="0.3">
      <c r="B38" s="34" t="s">
        <v>43</v>
      </c>
      <c r="C38" s="5" t="s">
        <v>60</v>
      </c>
      <c r="D38" s="2" t="s">
        <v>23</v>
      </c>
      <c r="E38" s="1" t="s">
        <v>44</v>
      </c>
      <c r="F38" s="3" t="s">
        <v>45</v>
      </c>
      <c r="G38" s="28">
        <v>1</v>
      </c>
      <c r="H38" s="27">
        <v>1</v>
      </c>
      <c r="I38" s="81">
        <v>0</v>
      </c>
      <c r="J38" s="81"/>
      <c r="K38" s="81"/>
      <c r="L38" s="81"/>
      <c r="M38" s="28">
        <v>16</v>
      </c>
      <c r="N38" s="28">
        <v>256</v>
      </c>
      <c r="O38" s="28">
        <v>0.5</v>
      </c>
      <c r="P38" s="30">
        <v>2</v>
      </c>
      <c r="Q38" s="2" t="s">
        <v>21</v>
      </c>
      <c r="R38" s="2">
        <v>2</v>
      </c>
      <c r="S38" s="27">
        <f t="shared" si="12"/>
        <v>4</v>
      </c>
      <c r="T38" s="112"/>
      <c r="U38" s="28">
        <f t="shared" si="13"/>
        <v>16</v>
      </c>
      <c r="V38" s="28">
        <f t="shared" si="14"/>
        <v>256</v>
      </c>
      <c r="W38" s="53"/>
    </row>
    <row r="39" spans="2:28" x14ac:dyDescent="0.3">
      <c r="B39" s="34" t="s">
        <v>46</v>
      </c>
      <c r="C39" s="1" t="s">
        <v>60</v>
      </c>
      <c r="D39" s="35" t="s">
        <v>23</v>
      </c>
      <c r="E39" s="5" t="s">
        <v>47</v>
      </c>
      <c r="F39" s="1" t="s">
        <v>66</v>
      </c>
      <c r="G39" s="28">
        <v>1</v>
      </c>
      <c r="H39" s="27">
        <v>1</v>
      </c>
      <c r="I39" s="81">
        <v>0</v>
      </c>
      <c r="J39" s="81"/>
      <c r="K39" s="81"/>
      <c r="L39" s="81"/>
      <c r="M39" s="28">
        <v>8</v>
      </c>
      <c r="N39" s="28">
        <v>128</v>
      </c>
      <c r="O39" s="28">
        <v>0.5</v>
      </c>
      <c r="P39" s="30">
        <v>2</v>
      </c>
      <c r="Q39" s="2" t="s">
        <v>21</v>
      </c>
      <c r="R39" s="2">
        <v>2</v>
      </c>
      <c r="S39" s="27">
        <f t="shared" si="12"/>
        <v>4</v>
      </c>
      <c r="T39" s="112"/>
      <c r="U39" s="28">
        <f t="shared" si="13"/>
        <v>8</v>
      </c>
      <c r="V39" s="28">
        <f t="shared" si="14"/>
        <v>128</v>
      </c>
      <c r="W39" s="53"/>
    </row>
    <row r="40" spans="2:28" x14ac:dyDescent="0.3">
      <c r="B40" s="34" t="s">
        <v>54</v>
      </c>
      <c r="C40" s="1" t="s">
        <v>60</v>
      </c>
      <c r="E40" s="1" t="s">
        <v>67</v>
      </c>
      <c r="F40" s="3" t="s">
        <v>68</v>
      </c>
      <c r="G40" s="28">
        <v>1</v>
      </c>
      <c r="H40" s="27">
        <v>1</v>
      </c>
      <c r="I40" s="81">
        <v>0</v>
      </c>
      <c r="J40" s="81"/>
      <c r="K40" s="81"/>
      <c r="L40" s="81"/>
      <c r="M40" s="28">
        <v>32</v>
      </c>
      <c r="N40" s="28">
        <v>256</v>
      </c>
      <c r="O40" s="28">
        <v>1</v>
      </c>
      <c r="P40" s="30">
        <v>4</v>
      </c>
      <c r="Q40" s="2" t="s">
        <v>21</v>
      </c>
      <c r="R40" s="2">
        <v>4</v>
      </c>
      <c r="S40" s="27">
        <f t="shared" si="12"/>
        <v>16</v>
      </c>
      <c r="T40" s="112"/>
      <c r="U40" s="28">
        <f t="shared" si="13"/>
        <v>32</v>
      </c>
      <c r="V40" s="28">
        <f t="shared" si="14"/>
        <v>256</v>
      </c>
      <c r="W40" s="53"/>
    </row>
    <row r="41" spans="2:28" x14ac:dyDescent="0.3">
      <c r="B41" s="34" t="s">
        <v>54</v>
      </c>
      <c r="C41" s="1" t="s">
        <v>60</v>
      </c>
      <c r="E41" s="5" t="s">
        <v>58</v>
      </c>
      <c r="F41" s="3" t="s">
        <v>69</v>
      </c>
      <c r="G41" s="28">
        <v>1</v>
      </c>
      <c r="H41" s="27">
        <v>1</v>
      </c>
      <c r="I41" s="81">
        <v>0</v>
      </c>
      <c r="J41" s="81"/>
      <c r="K41" s="81"/>
      <c r="L41" s="81"/>
      <c r="M41" s="28">
        <v>32</v>
      </c>
      <c r="N41" s="28">
        <v>128</v>
      </c>
      <c r="O41" s="28">
        <v>1</v>
      </c>
      <c r="P41" s="30">
        <v>4</v>
      </c>
      <c r="Q41" s="2" t="s">
        <v>21</v>
      </c>
      <c r="R41" s="2">
        <v>4</v>
      </c>
      <c r="S41" s="27">
        <f t="shared" si="12"/>
        <v>16</v>
      </c>
      <c r="T41" s="112"/>
      <c r="U41" s="28">
        <f t="shared" si="13"/>
        <v>32</v>
      </c>
      <c r="V41" s="28">
        <f t="shared" si="14"/>
        <v>128</v>
      </c>
      <c r="W41" s="53"/>
    </row>
    <row r="42" spans="2:28" x14ac:dyDescent="0.3">
      <c r="B42" s="34" t="s">
        <v>54</v>
      </c>
      <c r="C42" s="1" t="s">
        <v>60</v>
      </c>
      <c r="E42" s="5" t="s">
        <v>70</v>
      </c>
      <c r="F42" s="3" t="s">
        <v>71</v>
      </c>
      <c r="G42" s="28">
        <v>1</v>
      </c>
      <c r="H42" s="27">
        <v>1</v>
      </c>
      <c r="I42" s="81">
        <v>0</v>
      </c>
      <c r="J42" s="81"/>
      <c r="K42" s="81"/>
      <c r="L42" s="81"/>
      <c r="M42" s="28">
        <v>16</v>
      </c>
      <c r="N42" s="28">
        <v>256</v>
      </c>
      <c r="O42" s="28">
        <v>1</v>
      </c>
      <c r="P42" s="30">
        <v>3</v>
      </c>
      <c r="Q42" s="2" t="s">
        <v>21</v>
      </c>
      <c r="R42" s="2">
        <v>4</v>
      </c>
      <c r="S42" s="27">
        <f t="shared" si="12"/>
        <v>12</v>
      </c>
      <c r="T42" s="112"/>
      <c r="U42" s="28">
        <f t="shared" si="13"/>
        <v>16</v>
      </c>
      <c r="V42" s="28">
        <f t="shared" si="14"/>
        <v>256</v>
      </c>
      <c r="W42" s="53"/>
    </row>
    <row r="43" spans="2:28" x14ac:dyDescent="0.3">
      <c r="B43" s="34" t="s">
        <v>54</v>
      </c>
      <c r="C43" s="1" t="s">
        <v>60</v>
      </c>
      <c r="E43" s="5" t="s">
        <v>100</v>
      </c>
      <c r="F43" s="3" t="s">
        <v>101</v>
      </c>
      <c r="G43" s="28"/>
      <c r="H43" s="27">
        <v>2</v>
      </c>
      <c r="I43" s="81"/>
      <c r="J43" s="81"/>
      <c r="K43" s="81"/>
      <c r="L43" s="81"/>
      <c r="M43" s="28">
        <v>24</v>
      </c>
      <c r="N43" s="28">
        <v>256</v>
      </c>
      <c r="O43" s="28">
        <v>1</v>
      </c>
      <c r="P43" s="30">
        <v>4</v>
      </c>
      <c r="Q43" s="2" t="s">
        <v>21</v>
      </c>
      <c r="R43" s="2">
        <v>4</v>
      </c>
      <c r="S43" s="27">
        <f t="shared" si="12"/>
        <v>16</v>
      </c>
      <c r="T43" s="112"/>
      <c r="U43" s="27">
        <f t="shared" si="13"/>
        <v>48</v>
      </c>
      <c r="V43" s="27">
        <f t="shared" si="14"/>
        <v>512</v>
      </c>
      <c r="W43" s="53"/>
    </row>
    <row r="44" spans="2:28" s="84" customFormat="1" ht="15" thickBot="1" x14ac:dyDescent="0.35">
      <c r="B44" s="77" t="s">
        <v>54</v>
      </c>
      <c r="C44" s="78" t="s">
        <v>60</v>
      </c>
      <c r="D44" s="79"/>
      <c r="E44" s="78" t="s">
        <v>74</v>
      </c>
      <c r="F44" s="78" t="s">
        <v>73</v>
      </c>
      <c r="G44" s="80">
        <v>1</v>
      </c>
      <c r="H44" s="80">
        <v>1</v>
      </c>
      <c r="I44" s="81">
        <v>0</v>
      </c>
      <c r="J44" s="81"/>
      <c r="K44" s="81"/>
      <c r="L44" s="81"/>
      <c r="M44" s="80">
        <v>64</v>
      </c>
      <c r="N44" s="80">
        <v>512</v>
      </c>
      <c r="O44" s="80">
        <v>1</v>
      </c>
      <c r="P44" s="82">
        <v>20</v>
      </c>
      <c r="Q44" s="79" t="s">
        <v>21</v>
      </c>
      <c r="R44" s="79">
        <v>7</v>
      </c>
      <c r="S44" s="81">
        <v>140</v>
      </c>
      <c r="T44" s="112"/>
      <c r="U44" s="81"/>
      <c r="V44" s="81"/>
      <c r="W44" s="83"/>
      <c r="X44"/>
      <c r="Y44"/>
      <c r="Z44"/>
      <c r="AA44"/>
      <c r="AB44"/>
    </row>
    <row r="45" spans="2:28" x14ac:dyDescent="0.3">
      <c r="B45" s="54"/>
      <c r="C45" s="55" t="s">
        <v>77</v>
      </c>
      <c r="D45" s="55"/>
      <c r="E45" s="55" t="s">
        <v>77</v>
      </c>
      <c r="F45" s="55" t="s">
        <v>77</v>
      </c>
      <c r="G45" s="56"/>
      <c r="H45" s="57">
        <f>SUM(H34:H42)</f>
        <v>11</v>
      </c>
      <c r="I45" s="88"/>
      <c r="J45" s="88"/>
      <c r="K45" s="88"/>
      <c r="L45" s="88"/>
      <c r="M45" s="56"/>
      <c r="N45" s="56"/>
      <c r="O45" s="56"/>
      <c r="P45" s="58"/>
      <c r="Q45" s="57"/>
      <c r="R45" s="57"/>
      <c r="S45" s="57">
        <f>SUM(S34:S42)</f>
        <v>88</v>
      </c>
      <c r="T45" s="115"/>
      <c r="U45" s="57">
        <f>SUM(U34:U43)</f>
        <v>296</v>
      </c>
      <c r="V45" s="57">
        <f>SUM(V34:V43)</f>
        <v>3840</v>
      </c>
      <c r="W45" s="56">
        <f>S45*H45</f>
        <v>968</v>
      </c>
    </row>
    <row r="46" spans="2:28" ht="15" thickBot="1" x14ac:dyDescent="0.35">
      <c r="B46" s="60"/>
      <c r="C46" s="61" t="s">
        <v>75</v>
      </c>
      <c r="D46" s="61"/>
      <c r="E46" s="61" t="s">
        <v>75</v>
      </c>
      <c r="F46" s="61" t="s">
        <v>75</v>
      </c>
      <c r="G46" s="62"/>
      <c r="H46" s="63">
        <v>6</v>
      </c>
      <c r="I46" s="89"/>
      <c r="J46" s="89"/>
      <c r="K46" s="89"/>
      <c r="L46" s="89"/>
      <c r="M46" s="62">
        <v>64</v>
      </c>
      <c r="N46" s="62">
        <v>512</v>
      </c>
      <c r="O46" s="62">
        <v>1</v>
      </c>
      <c r="P46" s="64">
        <v>14</v>
      </c>
      <c r="Q46" s="63" t="s">
        <v>21</v>
      </c>
      <c r="R46" s="63">
        <v>12</v>
      </c>
      <c r="S46" s="65">
        <f t="shared" ref="S46" si="15">P46*R46</f>
        <v>168</v>
      </c>
      <c r="T46" s="114"/>
      <c r="U46" s="62"/>
      <c r="V46" s="62"/>
      <c r="W46" s="62"/>
    </row>
    <row r="47" spans="2:28" ht="15" thickBot="1" x14ac:dyDescent="0.35">
      <c r="B47" s="29"/>
      <c r="G47" s="28"/>
      <c r="H47" s="27"/>
      <c r="I47" s="81"/>
      <c r="J47" s="81"/>
      <c r="K47" s="81"/>
      <c r="L47" s="81"/>
      <c r="M47" s="28"/>
      <c r="N47" s="28"/>
      <c r="O47" s="28"/>
      <c r="P47" s="30"/>
      <c r="S47" s="27"/>
      <c r="T47" s="112"/>
      <c r="U47" s="45"/>
      <c r="V47" s="45"/>
      <c r="W47" s="53"/>
    </row>
    <row r="48" spans="2:28" ht="15" thickBot="1" x14ac:dyDescent="0.35">
      <c r="B48" s="47" t="s">
        <v>72</v>
      </c>
      <c r="C48" s="48"/>
      <c r="D48" s="49"/>
      <c r="E48" s="49"/>
      <c r="F48" s="50"/>
      <c r="G48" s="14"/>
      <c r="H48" s="51"/>
      <c r="I48" s="91"/>
      <c r="J48" s="91"/>
      <c r="K48" s="91"/>
      <c r="L48" s="91"/>
      <c r="M48" s="14"/>
      <c r="N48" s="14"/>
      <c r="O48" s="14"/>
      <c r="P48" s="52"/>
      <c r="Q48" s="49"/>
      <c r="R48" s="49"/>
      <c r="S48" s="51"/>
      <c r="T48" s="116"/>
      <c r="U48" s="51"/>
      <c r="V48" s="51"/>
      <c r="W48" s="68"/>
    </row>
    <row r="49" spans="1:23" x14ac:dyDescent="0.3">
      <c r="E49" s="5"/>
    </row>
    <row r="50" spans="1:23" x14ac:dyDescent="0.3">
      <c r="B50"/>
      <c r="C50"/>
      <c r="E50"/>
    </row>
    <row r="51" spans="1:23" x14ac:dyDescent="0.3">
      <c r="B51"/>
      <c r="C51"/>
      <c r="E51"/>
    </row>
    <row r="52" spans="1:23" x14ac:dyDescent="0.3">
      <c r="B52"/>
      <c r="C52"/>
      <c r="E52"/>
    </row>
    <row r="53" spans="1:23" x14ac:dyDescent="0.3">
      <c r="B53"/>
      <c r="C53"/>
      <c r="E53"/>
    </row>
    <row r="54" spans="1:23" x14ac:dyDescent="0.3">
      <c r="B54"/>
      <c r="C54"/>
    </row>
    <row r="55" spans="1:23" x14ac:dyDescent="0.3">
      <c r="B55"/>
      <c r="C55"/>
      <c r="E55" s="5"/>
      <c r="G55" s="70"/>
      <c r="H55" s="70"/>
    </row>
    <row r="56" spans="1:23" x14ac:dyDescent="0.3">
      <c r="C56"/>
      <c r="E56" s="5"/>
      <c r="F56" s="5"/>
      <c r="G56" s="70"/>
    </row>
    <row r="57" spans="1:23" x14ac:dyDescent="0.3">
      <c r="C57"/>
      <c r="E57" s="5"/>
      <c r="F57" s="5"/>
    </row>
    <row r="58" spans="1:23" x14ac:dyDescent="0.3">
      <c r="A58" s="2"/>
      <c r="B58" s="2"/>
    </row>
    <row r="59" spans="1:23" s="2" customFormat="1" x14ac:dyDescent="0.3">
      <c r="C59" s="1"/>
      <c r="F59" s="3"/>
      <c r="I59" s="79"/>
      <c r="J59" s="79"/>
      <c r="K59" s="79"/>
      <c r="L59" s="79"/>
      <c r="T59" s="108"/>
      <c r="W59"/>
    </row>
    <row r="60" spans="1:23" s="2" customFormat="1" x14ac:dyDescent="0.3">
      <c r="C60" s="1"/>
      <c r="E60" s="5"/>
      <c r="F60" s="5"/>
      <c r="I60" s="79"/>
      <c r="J60" s="79"/>
      <c r="K60" s="79"/>
      <c r="L60" s="79"/>
      <c r="T60" s="108"/>
      <c r="W60"/>
    </row>
    <row r="61" spans="1:23" x14ac:dyDescent="0.3">
      <c r="A61" s="2"/>
      <c r="B61" s="2"/>
    </row>
    <row r="62" spans="1:23" s="2" customFormat="1" x14ac:dyDescent="0.3">
      <c r="C62" s="1"/>
      <c r="F62" s="3"/>
      <c r="I62" s="79"/>
      <c r="J62" s="79"/>
      <c r="K62" s="79"/>
      <c r="L62" s="79"/>
      <c r="T62" s="108"/>
      <c r="W62"/>
    </row>
    <row r="63" spans="1:23" s="2" customFormat="1" x14ac:dyDescent="0.3">
      <c r="C63" s="1"/>
      <c r="F63" s="3"/>
      <c r="I63" s="79"/>
      <c r="J63" s="79"/>
      <c r="K63" s="79"/>
      <c r="L63" s="79"/>
      <c r="T63" s="108"/>
      <c r="W63"/>
    </row>
    <row r="64" spans="1:23" s="2" customFormat="1" x14ac:dyDescent="0.3">
      <c r="C64" s="1"/>
      <c r="E64" s="5"/>
      <c r="F64" s="3"/>
      <c r="G64" s="70"/>
      <c r="H64" s="70"/>
      <c r="I64" s="79"/>
      <c r="J64" s="79"/>
      <c r="K64" s="79"/>
      <c r="L64" s="79"/>
      <c r="T64" s="108"/>
      <c r="W64"/>
    </row>
    <row r="65" spans="1:23" s="2" customFormat="1" x14ac:dyDescent="0.3">
      <c r="C65"/>
      <c r="E65" s="5"/>
      <c r="F65" s="5"/>
      <c r="G65" s="70"/>
      <c r="I65" s="79"/>
      <c r="J65" s="79"/>
      <c r="K65" s="79"/>
      <c r="L65" s="79"/>
      <c r="T65" s="108"/>
      <c r="W65"/>
    </row>
    <row r="66" spans="1:23" x14ac:dyDescent="0.3">
      <c r="A66" s="2"/>
      <c r="B66" s="2"/>
    </row>
  </sheetData>
  <autoFilter ref="B4:F18" xr:uid="{10600EEE-DC2B-4046-B500-E4162339E275}"/>
  <mergeCells count="18">
    <mergeCell ref="U3:W3"/>
    <mergeCell ref="U2:W2"/>
    <mergeCell ref="AC18:AE18"/>
    <mergeCell ref="A22:A26"/>
    <mergeCell ref="Y23:AB23"/>
    <mergeCell ref="Y25:AB25"/>
    <mergeCell ref="M2:S2"/>
    <mergeCell ref="G3:H3"/>
    <mergeCell ref="I3:L3"/>
    <mergeCell ref="M3:M4"/>
    <mergeCell ref="N3:N4"/>
    <mergeCell ref="P3:S3"/>
    <mergeCell ref="Y30:AB30"/>
    <mergeCell ref="A5:A8"/>
    <mergeCell ref="Y6:AB6"/>
    <mergeCell ref="A11:A19"/>
    <mergeCell ref="Y11:AB11"/>
    <mergeCell ref="Y18:AB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D5A-5B92-417A-BC3A-CFFA03926884}">
  <sheetPr>
    <tabColor rgb="FF00B050"/>
  </sheetPr>
  <dimension ref="C3:F14"/>
  <sheetViews>
    <sheetView workbookViewId="0">
      <selection activeCell="H8" sqref="H8"/>
    </sheetView>
  </sheetViews>
  <sheetFormatPr defaultRowHeight="14.4" x14ac:dyDescent="0.3"/>
  <cols>
    <col min="4" max="4" width="21.88671875" customWidth="1"/>
    <col min="5" max="5" width="19.109375" bestFit="1" customWidth="1"/>
    <col min="6" max="6" width="29.88671875" bestFit="1" customWidth="1"/>
  </cols>
  <sheetData>
    <row r="3" spans="3:6" x14ac:dyDescent="0.3">
      <c r="C3" s="131" t="s">
        <v>114</v>
      </c>
      <c r="D3" s="131"/>
      <c r="E3" s="131"/>
      <c r="F3" s="131"/>
    </row>
    <row r="4" spans="3:6" x14ac:dyDescent="0.3">
      <c r="C4" s="128" t="s">
        <v>110</v>
      </c>
      <c r="D4" s="128" t="s">
        <v>111</v>
      </c>
      <c r="E4" s="128" t="s">
        <v>112</v>
      </c>
      <c r="F4" s="128" t="s">
        <v>113</v>
      </c>
    </row>
    <row r="5" spans="3:6" ht="28.8" x14ac:dyDescent="0.3">
      <c r="C5" s="126">
        <v>1</v>
      </c>
      <c r="D5" s="126" t="s">
        <v>23</v>
      </c>
      <c r="E5" s="129">
        <v>11</v>
      </c>
      <c r="F5" s="127" t="s">
        <v>116</v>
      </c>
    </row>
    <row r="6" spans="3:6" ht="28.8" x14ac:dyDescent="0.3">
      <c r="C6" s="126">
        <v>2</v>
      </c>
      <c r="D6" s="126" t="s">
        <v>115</v>
      </c>
      <c r="E6" s="129">
        <v>4</v>
      </c>
      <c r="F6" s="127" t="s">
        <v>117</v>
      </c>
    </row>
    <row r="7" spans="3:6" ht="28.8" x14ac:dyDescent="0.3">
      <c r="C7" s="126">
        <v>3</v>
      </c>
      <c r="D7" s="126" t="s">
        <v>118</v>
      </c>
      <c r="E7" s="129">
        <v>5</v>
      </c>
      <c r="F7" s="127" t="s">
        <v>119</v>
      </c>
    </row>
    <row r="8" spans="3:6" x14ac:dyDescent="0.3">
      <c r="D8" s="130" t="s">
        <v>120</v>
      </c>
      <c r="E8" s="95">
        <f>SUM(E5:E7)</f>
        <v>20</v>
      </c>
    </row>
    <row r="10" spans="3:6" x14ac:dyDescent="0.3">
      <c r="C10" s="131" t="s">
        <v>121</v>
      </c>
      <c r="D10" s="131"/>
      <c r="E10" s="131"/>
      <c r="F10" s="131"/>
    </row>
    <row r="11" spans="3:6" x14ac:dyDescent="0.3">
      <c r="C11" s="128" t="s">
        <v>110</v>
      </c>
      <c r="D11" s="128" t="s">
        <v>111</v>
      </c>
      <c r="E11" s="128" t="s">
        <v>112</v>
      </c>
      <c r="F11" s="128" t="s">
        <v>113</v>
      </c>
    </row>
    <row r="12" spans="3:6" ht="28.8" x14ac:dyDescent="0.3">
      <c r="C12" s="126">
        <v>1</v>
      </c>
      <c r="D12" s="126" t="s">
        <v>23</v>
      </c>
      <c r="E12" s="129">
        <v>5</v>
      </c>
      <c r="F12" s="127" t="s">
        <v>122</v>
      </c>
    </row>
    <row r="13" spans="3:6" ht="28.8" x14ac:dyDescent="0.3">
      <c r="C13" s="126">
        <v>2</v>
      </c>
      <c r="D13" s="126" t="s">
        <v>115</v>
      </c>
      <c r="E13" s="129">
        <v>4</v>
      </c>
      <c r="F13" s="127" t="s">
        <v>123</v>
      </c>
    </row>
    <row r="14" spans="3:6" x14ac:dyDescent="0.3">
      <c r="D14" s="130" t="s">
        <v>120</v>
      </c>
      <c r="E14" s="95">
        <f>SUM(E12:E13)</f>
        <v>9</v>
      </c>
    </row>
  </sheetData>
  <mergeCells count="2">
    <mergeCell ref="C3:F3"/>
    <mergeCell ref="C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Virutal HW PR</vt:lpstr>
      <vt:lpstr>Virutal HW DR</vt:lpstr>
      <vt:lpstr>Cores Working for Redhat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Tayyab Riaz</cp:lastModifiedBy>
  <dcterms:created xsi:type="dcterms:W3CDTF">2015-06-05T18:17:20Z</dcterms:created>
  <dcterms:modified xsi:type="dcterms:W3CDTF">2026-10-20T17:01:48Z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e60815-9fb2-493a-ac6b-8efff9eca9de_Enabled">
    <vt:lpwstr>true</vt:lpwstr>
  </property>
  <property fmtid="{D5CDD505-2E9C-101B-9397-08002B2CF9AE}" pid="3" name="MSIP_Label_d7e60815-9fb2-493a-ac6b-8efff9eca9de_SetDate">
    <vt:lpwstr>2026-10-14T12:33:29Z</vt:lpwstr>
  </property>
  <property fmtid="{D5CDD505-2E9C-101B-9397-08002B2CF9AE}" pid="4" name="MSIP_Label_d7e60815-9fb2-493a-ac6b-8efff9eca9de_Method">
    <vt:lpwstr>Standard</vt:lpwstr>
  </property>
  <property fmtid="{D5CDD505-2E9C-101B-9397-08002B2CF9AE}" pid="5" name="MSIP_Label_d7e60815-9fb2-493a-ac6b-8efff9eca9de_Name">
    <vt:lpwstr>defa4170-0d19-0005-0004-bc88714345d2</vt:lpwstr>
  </property>
  <property fmtid="{D5CDD505-2E9C-101B-9397-08002B2CF9AE}" pid="6" name="MSIP_Label_d7e60815-9fb2-493a-ac6b-8efff9eca9de_SiteId">
    <vt:lpwstr>79a24c0f-fa08-4600-adb8-887684689ed1</vt:lpwstr>
  </property>
  <property fmtid="{D5CDD505-2E9C-101B-9397-08002B2CF9AE}" pid="7" name="MSIP_Label_d7e60815-9fb2-493a-ac6b-8efff9eca9de_ActionId">
    <vt:lpwstr>85fb8411-d34a-4227-8c5c-bc5a0d4c0d0d</vt:lpwstr>
  </property>
  <property fmtid="{D5CDD505-2E9C-101B-9397-08002B2CF9AE}" pid="8" name="MSIP_Label_d7e60815-9fb2-493a-ac6b-8efff9eca9de_ContentBits">
    <vt:lpwstr>0</vt:lpwstr>
  </property>
  <property fmtid="{D5CDD505-2E9C-101B-9397-08002B2CF9AE}" pid="9" name="MSIP_Label_d7e60815-9fb2-493a-ac6b-8efff9eca9de_Tag">
    <vt:lpwstr>10, 3, 0, 1</vt:lpwstr>
  </property>
</Properties>
</file>