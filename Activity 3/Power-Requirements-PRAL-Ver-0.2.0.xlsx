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ystem-engineering-portfolio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1" l="1"/>
  <c r="G22" i="1"/>
  <c r="G21" i="1"/>
  <c r="G3" i="1"/>
  <c r="F3" i="1"/>
  <c r="H3" i="1"/>
  <c r="J3" i="1"/>
  <c r="M3" i="1"/>
  <c r="N3" i="1"/>
  <c r="F4" i="1"/>
  <c r="N4" i="1" s="1"/>
  <c r="H4" i="1"/>
  <c r="J4" i="1"/>
  <c r="M4" i="1"/>
  <c r="F5" i="1"/>
  <c r="H5" i="1"/>
  <c r="J5" i="1"/>
  <c r="M5" i="1"/>
  <c r="N5" i="1"/>
  <c r="F6" i="1"/>
  <c r="H6" i="1"/>
  <c r="J6" i="1"/>
  <c r="M6" i="1"/>
  <c r="N6" i="1"/>
  <c r="F7" i="1"/>
  <c r="K7" i="1"/>
  <c r="M7" i="1"/>
  <c r="N7" i="1"/>
  <c r="F8" i="1"/>
  <c r="M8" i="1"/>
  <c r="F9" i="1"/>
  <c r="M9" i="1"/>
  <c r="N9" i="1"/>
  <c r="F10" i="1"/>
  <c r="M10" i="1"/>
  <c r="F11" i="1"/>
  <c r="I11" i="1"/>
  <c r="M11" i="1"/>
  <c r="N11" i="1"/>
  <c r="F12" i="1"/>
  <c r="I12" i="1"/>
  <c r="M12" i="1"/>
  <c r="N12" i="1"/>
  <c r="F13" i="1"/>
  <c r="H13" i="1"/>
  <c r="I13" i="1"/>
  <c r="M13" i="1"/>
  <c r="N13" i="1"/>
  <c r="F14" i="1"/>
  <c r="M14" i="1"/>
  <c r="N14" i="1"/>
  <c r="F15" i="1"/>
  <c r="H15" i="1"/>
  <c r="I15" i="1"/>
  <c r="M15" i="1"/>
  <c r="N15" i="1"/>
  <c r="F16" i="1"/>
  <c r="H16" i="1"/>
  <c r="M16" i="1"/>
  <c r="N16" i="1"/>
  <c r="K17" i="1"/>
  <c r="F21" i="1"/>
  <c r="F22" i="1"/>
  <c r="F23" i="1"/>
  <c r="F24" i="1"/>
  <c r="F25" i="1"/>
  <c r="F26" i="1"/>
  <c r="F27" i="1"/>
  <c r="F28" i="1"/>
  <c r="F29" i="1"/>
  <c r="F30" i="1"/>
  <c r="F31" i="1"/>
  <c r="J17" i="1" l="1"/>
  <c r="G4" i="1"/>
  <c r="G17" i="1" s="1"/>
  <c r="M17" i="1"/>
  <c r="H17" i="1"/>
  <c r="I17" i="1"/>
  <c r="F17" i="1"/>
  <c r="F32" i="1"/>
  <c r="I28" i="1" l="1"/>
  <c r="I27" i="1"/>
  <c r="K32" i="1"/>
  <c r="M30" i="1"/>
  <c r="M29" i="1"/>
  <c r="M31" i="1"/>
  <c r="M26" i="1"/>
  <c r="M28" i="1"/>
  <c r="M27" i="1"/>
  <c r="M25" i="1"/>
  <c r="M24" i="1"/>
  <c r="M23" i="1"/>
  <c r="M22" i="1"/>
  <c r="M21" i="1"/>
  <c r="M32" i="1" l="1"/>
</calcChain>
</file>

<file path=xl/sharedStrings.xml><?xml version="1.0" encoding="utf-8"?>
<sst xmlns="http://schemas.openxmlformats.org/spreadsheetml/2006/main" count="50" uniqueCount="28">
  <si>
    <t>No</t>
  </si>
  <si>
    <t xml:space="preserve">Device </t>
  </si>
  <si>
    <t>Server Cat A</t>
  </si>
  <si>
    <t>Commodity Server</t>
  </si>
  <si>
    <t>Qty</t>
  </si>
  <si>
    <t xml:space="preserve">Dev </t>
  </si>
  <si>
    <t>Spine Switches</t>
  </si>
  <si>
    <t>Load Balancer</t>
  </si>
  <si>
    <t>WAF</t>
  </si>
  <si>
    <t>Power on Single Path (Watt)</t>
  </si>
  <si>
    <t>Indicative Total Power Required (Single Path)</t>
  </si>
  <si>
    <t>Indicative Power for PR</t>
  </si>
  <si>
    <t>Indicative Power for DR</t>
  </si>
  <si>
    <t>Oracle Engineered System</t>
  </si>
  <si>
    <t>Mgmt Switches</t>
  </si>
  <si>
    <t>Tape Library</t>
  </si>
  <si>
    <t>Tape library Backup Server</t>
  </si>
  <si>
    <t>Rack Space in U's</t>
  </si>
  <si>
    <t>Ports Required 25G</t>
  </si>
  <si>
    <t>Ports Required 10G</t>
  </si>
  <si>
    <t>100G ports</t>
  </si>
  <si>
    <t>1G Management</t>
  </si>
  <si>
    <t>1G</t>
  </si>
  <si>
    <t>32G FC Ports</t>
  </si>
  <si>
    <t>StoreOnce3760</t>
  </si>
  <si>
    <t>Server Cat B &amp; C</t>
  </si>
  <si>
    <t>Object Store</t>
  </si>
  <si>
    <t>Huawei Leaf Switches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</si>
</sst>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N32"/>
  <sheetViews>
    <sheetView tabSelected="1" topLeftCell="A16" workbookViewId="0">
      <selection activeCell="N20" sqref="N20"/>
    </sheetView>
  </sheetViews>
  <sheetFormatPr defaultRowHeight="14.25"/>
  <cols>
    <col min="4" max="4" width="15.625" bestFit="1" customWidth="1"/>
    <col min="5" max="12" width="15.625" customWidth="1"/>
    <col min="13" max="13" width="17.75" bestFit="1" customWidth="1"/>
    <col min="14" max="14" width="18.125" bestFit="1" customWidth="1"/>
    <col min="15" max="15" width="20.5" customWidth="1"/>
  </cols>
  <sheetData>
    <row r="1" spans="3:14">
      <c r="C1" s="8" t="s">
        <v>11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3:14" ht="42.75">
      <c r="C2" s="2" t="s">
        <v>0</v>
      </c>
      <c r="D2" s="2" t="s">
        <v>1</v>
      </c>
      <c r="E2" s="2" t="s">
        <v>4</v>
      </c>
      <c r="F2" s="2" t="s">
        <v>21</v>
      </c>
      <c r="G2" s="6" t="s">
        <v>22</v>
      </c>
      <c r="H2" s="3" t="s">
        <v>18</v>
      </c>
      <c r="I2" s="3" t="s">
        <v>19</v>
      </c>
      <c r="J2" s="6" t="s">
        <v>23</v>
      </c>
      <c r="K2" s="2" t="s">
        <v>20</v>
      </c>
      <c r="L2" s="3" t="s">
        <v>9</v>
      </c>
      <c r="M2" s="3" t="s">
        <v>10</v>
      </c>
      <c r="N2" s="3" t="s">
        <v>17</v>
      </c>
    </row>
    <row r="3" spans="3:14">
      <c r="C3" s="2">
        <v>1</v>
      </c>
      <c r="D3" s="2" t="s">
        <v>2</v>
      </c>
      <c r="E3" s="2">
        <v>11</v>
      </c>
      <c r="F3" s="2">
        <f>E3*1</f>
        <v>11</v>
      </c>
      <c r="G3" s="6">
        <f>F3*4</f>
        <v>44</v>
      </c>
      <c r="H3" s="2">
        <f>E3*4</f>
        <v>44</v>
      </c>
      <c r="I3" s="2">
        <v>0</v>
      </c>
      <c r="J3" s="6">
        <f>E3*2</f>
        <v>22</v>
      </c>
      <c r="K3" s="2">
        <v>0</v>
      </c>
      <c r="L3" s="2">
        <v>2200</v>
      </c>
      <c r="M3" s="5">
        <f>L3*E3</f>
        <v>24200</v>
      </c>
      <c r="N3" s="1">
        <f>E3*2</f>
        <v>22</v>
      </c>
    </row>
    <row r="4" spans="3:14">
      <c r="C4" s="2">
        <v>2</v>
      </c>
      <c r="D4" s="2" t="s">
        <v>25</v>
      </c>
      <c r="E4" s="2">
        <v>4</v>
      </c>
      <c r="F4" s="2">
        <f t="shared" ref="F4:F16" si="0">E4*1</f>
        <v>4</v>
      </c>
      <c r="G4" s="6">
        <f>F4*4</f>
        <v>16</v>
      </c>
      <c r="H4" s="2">
        <f>E4*4</f>
        <v>16</v>
      </c>
      <c r="I4" s="2">
        <v>0</v>
      </c>
      <c r="J4" s="6">
        <f>E4*2</f>
        <v>8</v>
      </c>
      <c r="K4" s="2">
        <v>0</v>
      </c>
      <c r="L4" s="2">
        <v>1600</v>
      </c>
      <c r="M4" s="5">
        <f>L4*E4</f>
        <v>6400</v>
      </c>
      <c r="N4" s="1">
        <f>F4*2</f>
        <v>8</v>
      </c>
    </row>
    <row r="5" spans="3:14">
      <c r="C5" s="2">
        <v>3</v>
      </c>
      <c r="D5" s="2" t="s">
        <v>3</v>
      </c>
      <c r="E5" s="2">
        <v>1</v>
      </c>
      <c r="F5" s="2">
        <f t="shared" si="0"/>
        <v>1</v>
      </c>
      <c r="G5" s="6">
        <v>4</v>
      </c>
      <c r="H5" s="2">
        <f>E5*4</f>
        <v>4</v>
      </c>
      <c r="I5" s="2">
        <v>0</v>
      </c>
      <c r="J5" s="6">
        <f>E5*2</f>
        <v>2</v>
      </c>
      <c r="K5" s="2">
        <v>0</v>
      </c>
      <c r="L5" s="2">
        <v>2200</v>
      </c>
      <c r="M5" s="5">
        <f>L5*E5</f>
        <v>2200</v>
      </c>
      <c r="N5" s="1">
        <f>E5*2</f>
        <v>2</v>
      </c>
    </row>
    <row r="6" spans="3:14">
      <c r="C6" s="2">
        <v>4</v>
      </c>
      <c r="D6" s="2" t="s">
        <v>5</v>
      </c>
      <c r="E6" s="2">
        <v>5</v>
      </c>
      <c r="F6" s="2">
        <f t="shared" si="0"/>
        <v>5</v>
      </c>
      <c r="G6" s="6">
        <v>20</v>
      </c>
      <c r="H6" s="2">
        <f>E6*4</f>
        <v>20</v>
      </c>
      <c r="I6" s="2">
        <v>0</v>
      </c>
      <c r="J6" s="6">
        <f>E6*2</f>
        <v>10</v>
      </c>
      <c r="K6" s="2">
        <v>0</v>
      </c>
      <c r="L6" s="2">
        <v>2200</v>
      </c>
      <c r="M6" s="5">
        <f>L6*E6</f>
        <v>11000</v>
      </c>
      <c r="N6" s="1">
        <f>E6*2</f>
        <v>10</v>
      </c>
    </row>
    <row r="7" spans="3:14">
      <c r="C7" s="2">
        <v>5</v>
      </c>
      <c r="D7" s="2" t="s">
        <v>26</v>
      </c>
      <c r="E7" s="2">
        <v>1</v>
      </c>
      <c r="F7" s="2">
        <f t="shared" si="0"/>
        <v>1</v>
      </c>
      <c r="G7" s="6"/>
      <c r="H7" s="2">
        <v>0</v>
      </c>
      <c r="I7" s="2">
        <v>0</v>
      </c>
      <c r="J7" s="6"/>
      <c r="K7" s="2">
        <f>E7*6</f>
        <v>6</v>
      </c>
      <c r="L7" s="2">
        <v>4800</v>
      </c>
      <c r="M7" s="5">
        <f>L7*E7</f>
        <v>4800</v>
      </c>
      <c r="N7" s="1">
        <f>E7*2</f>
        <v>2</v>
      </c>
    </row>
    <row r="8" spans="3:14">
      <c r="C8" s="2">
        <v>6</v>
      </c>
      <c r="D8" s="2" t="s">
        <v>6</v>
      </c>
      <c r="E8" s="2">
        <v>0</v>
      </c>
      <c r="F8" s="2">
        <f t="shared" si="0"/>
        <v>0</v>
      </c>
      <c r="G8" s="6"/>
      <c r="H8" s="2">
        <v>0</v>
      </c>
      <c r="I8" s="2">
        <v>0</v>
      </c>
      <c r="J8" s="6"/>
      <c r="K8" s="2">
        <v>0</v>
      </c>
      <c r="L8" s="2">
        <v>650</v>
      </c>
      <c r="M8" s="5">
        <f>L8*E8</f>
        <v>0</v>
      </c>
      <c r="N8" s="1"/>
    </row>
    <row r="9" spans="3:14" ht="28.5">
      <c r="C9" s="2">
        <v>7</v>
      </c>
      <c r="D9" s="3" t="s">
        <v>27</v>
      </c>
      <c r="E9" s="2">
        <v>6</v>
      </c>
      <c r="F9" s="2">
        <f>E9*1</f>
        <v>6</v>
      </c>
      <c r="G9" s="6"/>
      <c r="H9" s="2">
        <v>0</v>
      </c>
      <c r="I9" s="2">
        <v>0</v>
      </c>
      <c r="J9" s="6"/>
      <c r="K9" s="2">
        <v>0</v>
      </c>
      <c r="L9" s="2">
        <v>600</v>
      </c>
      <c r="M9" s="5">
        <f>L9*E9</f>
        <v>3600</v>
      </c>
      <c r="N9" s="1">
        <f>E9*2</f>
        <v>12</v>
      </c>
    </row>
    <row r="10" spans="3:14">
      <c r="C10" s="2">
        <v>8</v>
      </c>
      <c r="D10" s="2" t="s">
        <v>14</v>
      </c>
      <c r="E10" s="2">
        <v>0</v>
      </c>
      <c r="F10" s="2">
        <f t="shared" si="0"/>
        <v>0</v>
      </c>
      <c r="G10" s="6"/>
      <c r="H10" s="2">
        <v>0</v>
      </c>
      <c r="I10" s="2">
        <v>0</v>
      </c>
      <c r="J10" s="6"/>
      <c r="K10" s="2">
        <v>0</v>
      </c>
      <c r="L10" s="2">
        <v>150</v>
      </c>
      <c r="M10" s="5">
        <f>L10*E10</f>
        <v>0</v>
      </c>
      <c r="N10" s="1"/>
    </row>
    <row r="11" spans="3:14">
      <c r="C11" s="2">
        <v>9</v>
      </c>
      <c r="D11" s="2" t="s">
        <v>7</v>
      </c>
      <c r="E11" s="2">
        <v>2</v>
      </c>
      <c r="F11" s="2">
        <f t="shared" si="0"/>
        <v>2</v>
      </c>
      <c r="G11" s="6"/>
      <c r="H11" s="2">
        <v>0</v>
      </c>
      <c r="I11" s="2">
        <f>E11*4</f>
        <v>8</v>
      </c>
      <c r="J11" s="6"/>
      <c r="K11" s="2">
        <v>0</v>
      </c>
      <c r="L11" s="2">
        <v>300</v>
      </c>
      <c r="M11" s="5">
        <f>L11*E11</f>
        <v>600</v>
      </c>
      <c r="N11" s="1">
        <f>E11*2</f>
        <v>4</v>
      </c>
    </row>
    <row r="12" spans="3:14">
      <c r="C12" s="2">
        <v>10</v>
      </c>
      <c r="D12" s="2" t="s">
        <v>8</v>
      </c>
      <c r="E12" s="2">
        <v>2</v>
      </c>
      <c r="F12" s="2">
        <f t="shared" si="0"/>
        <v>2</v>
      </c>
      <c r="G12" s="6"/>
      <c r="H12" s="2">
        <v>0</v>
      </c>
      <c r="I12" s="2">
        <f>E12*4</f>
        <v>8</v>
      </c>
      <c r="J12" s="6"/>
      <c r="K12" s="2">
        <v>0</v>
      </c>
      <c r="L12" s="2">
        <v>200</v>
      </c>
      <c r="M12" s="5">
        <f>L12*E12</f>
        <v>400</v>
      </c>
      <c r="N12" s="1">
        <f>E12*2</f>
        <v>4</v>
      </c>
    </row>
    <row r="13" spans="3:14">
      <c r="C13" s="2">
        <v>11</v>
      </c>
      <c r="D13" s="7" t="s">
        <v>24</v>
      </c>
      <c r="E13" s="2">
        <v>4</v>
      </c>
      <c r="F13" s="2">
        <f t="shared" si="0"/>
        <v>4</v>
      </c>
      <c r="G13" s="6"/>
      <c r="H13" s="2">
        <f>E13*4</f>
        <v>16</v>
      </c>
      <c r="I13" s="2">
        <f>E13*1</f>
        <v>4</v>
      </c>
      <c r="J13" s="6"/>
      <c r="K13" s="2">
        <v>0</v>
      </c>
      <c r="L13" s="2">
        <v>1600</v>
      </c>
      <c r="M13" s="5">
        <f>L13*E13</f>
        <v>6400</v>
      </c>
      <c r="N13" s="1">
        <f>E13*2</f>
        <v>8</v>
      </c>
    </row>
    <row r="14" spans="3:14">
      <c r="C14" s="2">
        <v>12</v>
      </c>
      <c r="D14" s="3" t="s">
        <v>15</v>
      </c>
      <c r="E14" s="2">
        <v>1</v>
      </c>
      <c r="F14" s="2">
        <f t="shared" si="0"/>
        <v>1</v>
      </c>
      <c r="G14" s="6"/>
      <c r="H14" s="2">
        <v>0</v>
      </c>
      <c r="I14" s="2">
        <v>0</v>
      </c>
      <c r="J14" s="6"/>
      <c r="K14" s="2">
        <v>0</v>
      </c>
      <c r="L14" s="2">
        <v>1500</v>
      </c>
      <c r="M14" s="5">
        <f>L14*E14</f>
        <v>1500</v>
      </c>
      <c r="N14" s="1">
        <f>E14*2</f>
        <v>2</v>
      </c>
    </row>
    <row r="15" spans="3:14" ht="28.5">
      <c r="C15" s="2">
        <v>13</v>
      </c>
      <c r="D15" s="3" t="s">
        <v>16</v>
      </c>
      <c r="E15" s="2">
        <v>1</v>
      </c>
      <c r="F15" s="2">
        <f t="shared" si="0"/>
        <v>1</v>
      </c>
      <c r="G15" s="6"/>
      <c r="H15" s="2">
        <f>E15*2</f>
        <v>2</v>
      </c>
      <c r="I15" s="2">
        <f>E15*2</f>
        <v>2</v>
      </c>
      <c r="J15" s="6"/>
      <c r="K15" s="2">
        <v>0</v>
      </c>
      <c r="L15" s="2">
        <v>800</v>
      </c>
      <c r="M15" s="5">
        <f>L15*E15</f>
        <v>800</v>
      </c>
      <c r="N15" s="1">
        <f>E15*2</f>
        <v>2</v>
      </c>
    </row>
    <row r="16" spans="3:14" ht="42.75">
      <c r="C16" s="2">
        <v>14</v>
      </c>
      <c r="D16" s="3" t="s">
        <v>13</v>
      </c>
      <c r="E16" s="2">
        <v>1</v>
      </c>
      <c r="F16" s="2">
        <f t="shared" si="0"/>
        <v>1</v>
      </c>
      <c r="G16" s="6"/>
      <c r="H16" s="2">
        <f>E16*12</f>
        <v>12</v>
      </c>
      <c r="I16" s="2">
        <v>0</v>
      </c>
      <c r="J16" s="6"/>
      <c r="K16" s="2">
        <v>0</v>
      </c>
      <c r="L16" s="2">
        <v>6700</v>
      </c>
      <c r="M16" s="5">
        <f>L16*E16</f>
        <v>6700</v>
      </c>
      <c r="N16" s="1">
        <f>E16*2</f>
        <v>2</v>
      </c>
    </row>
    <row r="17" spans="3:14">
      <c r="C17" s="1"/>
      <c r="D17" s="1"/>
      <c r="E17" s="1"/>
      <c r="F17" s="5">
        <f>SUM(F3:F16)</f>
        <v>39</v>
      </c>
      <c r="G17" s="5">
        <f>SUM(G3:G6)</f>
        <v>84</v>
      </c>
      <c r="H17" s="5">
        <f>SUM(H3:H16)</f>
        <v>114</v>
      </c>
      <c r="I17" s="5">
        <f>SUM(I3:I16)</f>
        <v>22</v>
      </c>
      <c r="J17" s="5">
        <f>SUM(J3:J16)</f>
        <v>42</v>
      </c>
      <c r="K17" s="5">
        <f>SUM(K3:K16)</f>
        <v>6</v>
      </c>
      <c r="L17" s="1"/>
      <c r="M17" s="4">
        <f>SUM(M3:M16)</f>
        <v>68600</v>
      </c>
    </row>
    <row r="19" spans="3:14">
      <c r="C19" s="8" t="s">
        <v>12</v>
      </c>
      <c r="D19" s="8"/>
      <c r="E19" s="8"/>
      <c r="F19" s="8"/>
      <c r="G19" s="9"/>
      <c r="H19" s="9"/>
      <c r="I19" s="8"/>
      <c r="J19" s="8"/>
      <c r="K19" s="8"/>
      <c r="L19" s="8"/>
      <c r="M19" s="8"/>
      <c r="N19" s="8"/>
    </row>
    <row r="20" spans="3:14" ht="42.75">
      <c r="C20" s="2" t="s">
        <v>0</v>
      </c>
      <c r="D20" s="2" t="s">
        <v>1</v>
      </c>
      <c r="E20" s="2" t="s">
        <v>4</v>
      </c>
      <c r="F20" s="10" t="s">
        <v>21</v>
      </c>
      <c r="G20" s="15" t="s">
        <v>22</v>
      </c>
      <c r="H20" s="12" t="s">
        <v>18</v>
      </c>
      <c r="I20" s="3" t="s">
        <v>19</v>
      </c>
      <c r="J20" s="6" t="s">
        <v>23</v>
      </c>
      <c r="K20" s="2" t="s">
        <v>20</v>
      </c>
      <c r="L20" s="3" t="s">
        <v>9</v>
      </c>
      <c r="M20" s="3" t="s">
        <v>10</v>
      </c>
    </row>
    <row r="21" spans="3:14">
      <c r="C21" s="2">
        <v>1</v>
      </c>
      <c r="D21" s="2" t="s">
        <v>2</v>
      </c>
      <c r="E21" s="2">
        <v>5</v>
      </c>
      <c r="F21" s="10">
        <f>E21*1</f>
        <v>5</v>
      </c>
      <c r="G21" s="15">
        <f>E21*4</f>
        <v>20</v>
      </c>
      <c r="H21" s="13"/>
      <c r="I21" s="2"/>
      <c r="J21" s="6"/>
      <c r="K21" s="2">
        <v>0</v>
      </c>
      <c r="L21" s="2">
        <v>2200</v>
      </c>
      <c r="M21" s="5">
        <f>L21*E21</f>
        <v>11000</v>
      </c>
    </row>
    <row r="22" spans="3:14">
      <c r="C22" s="2">
        <v>2</v>
      </c>
      <c r="D22" s="2" t="s">
        <v>25</v>
      </c>
      <c r="E22" s="2">
        <v>4</v>
      </c>
      <c r="F22" s="10">
        <f>E22*1</f>
        <v>4</v>
      </c>
      <c r="G22" s="15">
        <f>E22*4</f>
        <v>16</v>
      </c>
      <c r="H22" s="13"/>
      <c r="I22" s="2"/>
      <c r="J22" s="6"/>
      <c r="K22" s="2">
        <v>0</v>
      </c>
      <c r="L22" s="2">
        <v>1600</v>
      </c>
      <c r="M22" s="5">
        <f>L22*E22</f>
        <v>6400</v>
      </c>
    </row>
    <row r="23" spans="3:14">
      <c r="C23" s="2">
        <v>3</v>
      </c>
      <c r="D23" s="2" t="s">
        <v>26</v>
      </c>
      <c r="E23" s="2">
        <v>1</v>
      </c>
      <c r="F23" s="10">
        <f>E23*1</f>
        <v>1</v>
      </c>
      <c r="G23" s="15">
        <f>E23*4</f>
        <v>4</v>
      </c>
      <c r="H23" s="13"/>
      <c r="I23" s="2"/>
      <c r="J23" s="6"/>
      <c r="K23" s="2">
        <v>6</v>
      </c>
      <c r="L23" s="2">
        <v>4800</v>
      </c>
      <c r="M23" s="5">
        <f>L23*E23</f>
        <v>4800</v>
      </c>
    </row>
    <row r="24" spans="3:14">
      <c r="C24" s="2">
        <v>4</v>
      </c>
      <c r="D24" s="2" t="s">
        <v>6</v>
      </c>
      <c r="E24" s="2">
        <v>0</v>
      </c>
      <c r="F24" s="10">
        <f>E24*1</f>
        <v>0</v>
      </c>
      <c r="G24" s="15"/>
      <c r="H24" s="13"/>
      <c r="I24" s="2"/>
      <c r="J24" s="6"/>
      <c r="K24" s="2">
        <v>0</v>
      </c>
      <c r="L24" s="2">
        <v>650</v>
      </c>
      <c r="M24" s="5">
        <f>L24*E24</f>
        <v>0</v>
      </c>
    </row>
    <row r="25" spans="3:14" ht="28.5">
      <c r="C25" s="2">
        <v>5</v>
      </c>
      <c r="D25" s="3" t="s">
        <v>27</v>
      </c>
      <c r="E25" s="2">
        <v>2</v>
      </c>
      <c r="F25" s="10">
        <f>E25*1</f>
        <v>2</v>
      </c>
      <c r="G25" s="15"/>
      <c r="H25" s="13"/>
      <c r="I25" s="2"/>
      <c r="J25" s="6"/>
      <c r="K25" s="2">
        <v>0</v>
      </c>
      <c r="L25" s="2">
        <v>600</v>
      </c>
      <c r="M25" s="5">
        <f>L25*E25</f>
        <v>1200</v>
      </c>
    </row>
    <row r="26" spans="3:14">
      <c r="C26" s="2">
        <v>6</v>
      </c>
      <c r="D26" s="2" t="s">
        <v>14</v>
      </c>
      <c r="E26" s="2">
        <v>2</v>
      </c>
      <c r="F26" s="10">
        <f>E26*1</f>
        <v>2</v>
      </c>
      <c r="G26" s="15"/>
      <c r="H26" s="13"/>
      <c r="I26" s="2"/>
      <c r="J26" s="6"/>
      <c r="K26" s="2">
        <v>0</v>
      </c>
      <c r="L26" s="2">
        <v>150</v>
      </c>
      <c r="M26" s="5">
        <f>L26*E26</f>
        <v>300</v>
      </c>
    </row>
    <row r="27" spans="3:14">
      <c r="C27" s="2">
        <v>7</v>
      </c>
      <c r="D27" s="2" t="s">
        <v>7</v>
      </c>
      <c r="E27" s="2">
        <v>2</v>
      </c>
      <c r="F27" s="10">
        <f>E27*1</f>
        <v>2</v>
      </c>
      <c r="G27" s="15"/>
      <c r="H27" s="13"/>
      <c r="I27" s="2">
        <f>E27*4</f>
        <v>8</v>
      </c>
      <c r="J27" s="6"/>
      <c r="K27" s="2">
        <v>0</v>
      </c>
      <c r="L27" s="2">
        <v>300</v>
      </c>
      <c r="M27" s="5">
        <f>L27*E27</f>
        <v>600</v>
      </c>
    </row>
    <row r="28" spans="3:14">
      <c r="C28" s="2">
        <v>8</v>
      </c>
      <c r="D28" s="2" t="s">
        <v>8</v>
      </c>
      <c r="E28" s="2">
        <v>2</v>
      </c>
      <c r="F28" s="10">
        <f>E28*1</f>
        <v>2</v>
      </c>
      <c r="G28" s="15"/>
      <c r="H28" s="13"/>
      <c r="I28" s="2">
        <f>E28*4</f>
        <v>8</v>
      </c>
      <c r="J28" s="6"/>
      <c r="K28" s="2">
        <v>0</v>
      </c>
      <c r="L28" s="2">
        <v>200</v>
      </c>
      <c r="M28" s="5">
        <f>L28*E28</f>
        <v>400</v>
      </c>
    </row>
    <row r="29" spans="3:14">
      <c r="C29" s="2">
        <v>9</v>
      </c>
      <c r="D29" s="3" t="s">
        <v>24</v>
      </c>
      <c r="E29" s="2">
        <v>4</v>
      </c>
      <c r="F29" s="10">
        <f>E29*1</f>
        <v>4</v>
      </c>
      <c r="G29" s="15"/>
      <c r="H29" s="13"/>
      <c r="I29" s="2"/>
      <c r="J29" s="6"/>
      <c r="K29" s="2">
        <v>0</v>
      </c>
      <c r="L29" s="2">
        <v>1600</v>
      </c>
      <c r="M29" s="5">
        <f>L29*E29</f>
        <v>6400</v>
      </c>
    </row>
    <row r="30" spans="3:14">
      <c r="C30" s="2">
        <v>10</v>
      </c>
      <c r="D30" s="3" t="s">
        <v>15</v>
      </c>
      <c r="E30" s="2">
        <v>1</v>
      </c>
      <c r="F30" s="10">
        <f>E30*1</f>
        <v>1</v>
      </c>
      <c r="G30" s="15"/>
      <c r="H30" s="13"/>
      <c r="I30" s="2"/>
      <c r="J30" s="6"/>
      <c r="K30" s="2">
        <v>0</v>
      </c>
      <c r="L30" s="2">
        <v>1500</v>
      </c>
      <c r="M30" s="5">
        <f>L30*E30</f>
        <v>1500</v>
      </c>
    </row>
    <row r="31" spans="3:14" ht="42.75">
      <c r="C31" s="2">
        <v>11</v>
      </c>
      <c r="D31" s="3" t="s">
        <v>13</v>
      </c>
      <c r="E31" s="2">
        <v>1</v>
      </c>
      <c r="F31" s="10">
        <f>E31*1</f>
        <v>1</v>
      </c>
      <c r="G31" s="15"/>
      <c r="H31" s="13"/>
      <c r="I31" s="2"/>
      <c r="J31" s="6"/>
      <c r="K31" s="2">
        <v>0</v>
      </c>
      <c r="L31" s="2">
        <v>6700</v>
      </c>
      <c r="M31" s="5">
        <f>L31*E31</f>
        <v>6700</v>
      </c>
    </row>
    <row r="32" spans="3:14">
      <c r="C32" s="1"/>
      <c r="D32" s="1"/>
      <c r="E32" s="1"/>
      <c r="F32" s="11">
        <f>SUM(F21:F31)</f>
        <v>24</v>
      </c>
      <c r="G32" s="15"/>
      <c r="H32" s="14"/>
      <c r="I32" s="1"/>
      <c r="J32" s="1"/>
      <c r="K32" s="5">
        <f>SUM(K21:K31)</f>
        <v>6</v>
      </c>
      <c r="L32" s="1"/>
      <c r="M32" s="4">
        <f>SUM(M21:M31)</f>
        <v>39300</v>
      </c>
    </row>
  </sheetData>
  <mergeCells count="2">
    <mergeCell ref="C1:N1"/>
    <mergeCell ref="C19:N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Tayyab Riaz</dc:creator>
  <cp:lastModifiedBy>Sarmad Farooq</cp:lastModifiedBy>
  <dcterms:created xsi:type="dcterms:W3CDTF">2026-10-16T04:34:17Z</dcterms:created>
  <dcterms:modified xsi:type="dcterms:W3CDTF">2026-10-22T09:51:58Z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e60815-9fb2-493a-ac6b-8efff9eca9de_Enabled">
    <vt:lpwstr>true</vt:lpwstr>
  </property>
  <property fmtid="{D5CDD505-2E9C-101B-9397-08002B2CF9AE}" pid="3" name="MSIP_Label_d7e60815-9fb2-493a-ac6b-8efff9eca9de_SetDate">
    <vt:lpwstr>2026-10-16T07:32:40Z</vt:lpwstr>
  </property>
  <property fmtid="{D5CDD505-2E9C-101B-9397-08002B2CF9AE}" pid="4" name="MSIP_Label_d7e60815-9fb2-493a-ac6b-8efff9eca9de_Method">
    <vt:lpwstr>Standard</vt:lpwstr>
  </property>
  <property fmtid="{D5CDD505-2E9C-101B-9397-08002B2CF9AE}" pid="5" name="MSIP_Label_d7e60815-9fb2-493a-ac6b-8efff9eca9de_Name">
    <vt:lpwstr>defa4170-0d19-0005-0004-bc88714345d2</vt:lpwstr>
  </property>
  <property fmtid="{D5CDD505-2E9C-101B-9397-08002B2CF9AE}" pid="6" name="MSIP_Label_d7e60815-9fb2-493a-ac6b-8efff9eca9de_SiteId">
    <vt:lpwstr>79a24c0f-fa08-4600-adb8-887684689ed1</vt:lpwstr>
  </property>
  <property fmtid="{D5CDD505-2E9C-101B-9397-08002B2CF9AE}" pid="7" name="MSIP_Label_d7e60815-9fb2-493a-ac6b-8efff9eca9de_ActionId">
    <vt:lpwstr>dc717efb-d320-424d-8fe5-3850db0abccd</vt:lpwstr>
  </property>
  <property fmtid="{D5CDD505-2E9C-101B-9397-08002B2CF9AE}" pid="8" name="MSIP_Label_d7e60815-9fb2-493a-ac6b-8efff9eca9de_ContentBits">
    <vt:lpwstr>0</vt:lpwstr>
  </property>
  <property fmtid="{D5CDD505-2E9C-101B-9397-08002B2CF9AE}" pid="9" name="MSIP_Label_d7e60815-9fb2-493a-ac6b-8efff9eca9de_Tag">
    <vt:lpwstr>10, 3, 0, 1</vt:lpwstr>
  </property>
</Properties>
</file>