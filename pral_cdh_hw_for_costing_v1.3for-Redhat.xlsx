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ayyabr\Desktop\Presales-Working-August-2026-Onwards\PRAL\PRAL-RFP-September-26\Hardware Sizing\Server\"/>
    </mc:Choice>
  </mc:AlternateContent>
  <xr:revisionPtr revIDLastSave="0" documentId="13_ncr:1_{7881C45D-8DA1-46B1-9467-8D96E6846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rutal HW" sheetId="3" r:id="rId1"/>
  </sheets>
  <definedNames>
    <definedName name="_xlnm._FilterDatabase" localSheetId="0" hidden="1">'Virutal HW'!$B$4:$F$35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3" l="1"/>
  <c r="P25" i="3"/>
  <c r="H28" i="3"/>
  <c r="T22" i="3"/>
  <c r="S22" i="3"/>
  <c r="R22" i="3"/>
  <c r="Q22" i="3"/>
  <c r="P22" i="3"/>
  <c r="T21" i="3"/>
  <c r="S21" i="3"/>
  <c r="R21" i="3"/>
  <c r="Q21" i="3"/>
  <c r="P21" i="3"/>
  <c r="T20" i="3"/>
  <c r="S20" i="3"/>
  <c r="R20" i="3"/>
  <c r="Q20" i="3"/>
  <c r="P20" i="3"/>
  <c r="H40" i="3"/>
  <c r="T38" i="3"/>
  <c r="S38" i="3"/>
  <c r="R38" i="3"/>
  <c r="Q38" i="3"/>
  <c r="P38" i="3"/>
  <c r="T37" i="3"/>
  <c r="S37" i="3"/>
  <c r="R37" i="3"/>
  <c r="Q37" i="3"/>
  <c r="P37" i="3"/>
  <c r="T36" i="3"/>
  <c r="S36" i="3"/>
  <c r="R36" i="3"/>
  <c r="Q36" i="3"/>
  <c r="P36" i="3"/>
  <c r="T35" i="3"/>
  <c r="S35" i="3"/>
  <c r="R35" i="3"/>
  <c r="Q35" i="3"/>
  <c r="P35" i="3"/>
  <c r="T34" i="3"/>
  <c r="S34" i="3"/>
  <c r="R34" i="3"/>
  <c r="Q34" i="3"/>
  <c r="P34" i="3"/>
  <c r="T33" i="3"/>
  <c r="S33" i="3"/>
  <c r="R33" i="3"/>
  <c r="Q33" i="3"/>
  <c r="P33" i="3"/>
  <c r="T32" i="3"/>
  <c r="S32" i="3"/>
  <c r="R32" i="3"/>
  <c r="Q32" i="3"/>
  <c r="P32" i="3"/>
  <c r="T31" i="3"/>
  <c r="S31" i="3"/>
  <c r="R31" i="3"/>
  <c r="Q31" i="3"/>
  <c r="P31" i="3"/>
  <c r="T30" i="3"/>
  <c r="S30" i="3"/>
  <c r="R30" i="3"/>
  <c r="Q30" i="3"/>
  <c r="P30" i="3"/>
  <c r="H19" i="3"/>
  <c r="T18" i="3"/>
  <c r="S18" i="3"/>
  <c r="R18" i="3"/>
  <c r="Q18" i="3"/>
  <c r="P18" i="3"/>
  <c r="T17" i="3"/>
  <c r="S17" i="3"/>
  <c r="R17" i="3"/>
  <c r="Q17" i="3"/>
  <c r="P17" i="3"/>
  <c r="T16" i="3"/>
  <c r="S16" i="3"/>
  <c r="R16" i="3"/>
  <c r="Q16" i="3"/>
  <c r="P16" i="3"/>
  <c r="T15" i="3"/>
  <c r="S15" i="3"/>
  <c r="R15" i="3"/>
  <c r="Q15" i="3"/>
  <c r="P15" i="3"/>
  <c r="T14" i="3"/>
  <c r="S14" i="3"/>
  <c r="R14" i="3"/>
  <c r="Q14" i="3"/>
  <c r="P14" i="3"/>
  <c r="T13" i="3"/>
  <c r="S13" i="3"/>
  <c r="R13" i="3"/>
  <c r="Q13" i="3"/>
  <c r="P13" i="3"/>
  <c r="T12" i="3"/>
  <c r="S12" i="3"/>
  <c r="R12" i="3"/>
  <c r="Q12" i="3"/>
  <c r="P12" i="3"/>
  <c r="T11" i="3"/>
  <c r="S11" i="3"/>
  <c r="R11" i="3"/>
  <c r="Q11" i="3"/>
  <c r="P11" i="3"/>
  <c r="H9" i="3"/>
  <c r="T8" i="3"/>
  <c r="S8" i="3"/>
  <c r="R8" i="3"/>
  <c r="Q8" i="3"/>
  <c r="P8" i="3"/>
  <c r="T7" i="3"/>
  <c r="S7" i="3"/>
  <c r="R7" i="3"/>
  <c r="Q7" i="3"/>
  <c r="P7" i="3"/>
  <c r="S6" i="3"/>
  <c r="R6" i="3"/>
  <c r="Q6" i="3"/>
  <c r="P6" i="3"/>
  <c r="T5" i="3"/>
  <c r="S5" i="3"/>
  <c r="R5" i="3"/>
  <c r="Q5" i="3"/>
  <c r="P5" i="3"/>
  <c r="P28" i="3" l="1"/>
  <c r="U28" i="3" s="1"/>
  <c r="S19" i="3"/>
  <c r="P19" i="3"/>
  <c r="U19" i="3" s="1"/>
  <c r="T28" i="3"/>
  <c r="T40" i="3"/>
  <c r="P9" i="3"/>
  <c r="U9" i="3" s="1"/>
  <c r="S9" i="3"/>
  <c r="T9" i="3"/>
  <c r="S40" i="3"/>
  <c r="P40" i="3"/>
  <c r="U40" i="3" s="1"/>
  <c r="T19" i="3"/>
  <c r="S28" i="3"/>
</calcChain>
</file>

<file path=xl/sharedStrings.xml><?xml version="1.0" encoding="utf-8"?>
<sst xmlns="http://schemas.openxmlformats.org/spreadsheetml/2006/main" count="199" uniqueCount="90">
  <si>
    <t>Per Node</t>
  </si>
  <si>
    <t>Totals For Nodes</t>
  </si>
  <si>
    <t>Count</t>
  </si>
  <si>
    <t>Cores</t>
  </si>
  <si>
    <t>RAM</t>
  </si>
  <si>
    <t>OS HDD (TB)</t>
  </si>
  <si>
    <t>Data HDD (TB)</t>
  </si>
  <si>
    <t>Year 0</t>
  </si>
  <si>
    <t>Year 5</t>
  </si>
  <si>
    <t>RFP Group</t>
  </si>
  <si>
    <t>Environment</t>
  </si>
  <si>
    <t>Type</t>
  </si>
  <si>
    <t>Project SW</t>
  </si>
  <si>
    <t>Role</t>
  </si>
  <si>
    <t>DR</t>
  </si>
  <si>
    <t>NVMe (2 each)</t>
  </si>
  <si>
    <t>Qty</t>
  </si>
  <si>
    <t>Size</t>
  </si>
  <si>
    <t>Total</t>
  </si>
  <si>
    <t>ELT Processing</t>
  </si>
  <si>
    <t>Production</t>
  </si>
  <si>
    <t>Oracle ODI</t>
  </si>
  <si>
    <t>NVMe</t>
  </si>
  <si>
    <t>Streaming and AI/ML</t>
  </si>
  <si>
    <t>A</t>
  </si>
  <si>
    <t>Openshift | Cloudera</t>
  </si>
  <si>
    <t>Master / Controller Nodes (HA + Failover)</t>
  </si>
  <si>
    <t>B</t>
  </si>
  <si>
    <t>Worker Nodes</t>
  </si>
  <si>
    <t>C</t>
  </si>
  <si>
    <t xml:space="preserve">Streaming Platform Nodes </t>
  </si>
  <si>
    <t>D</t>
  </si>
  <si>
    <t>Utilities and Gateway Nodes</t>
  </si>
  <si>
    <t xml:space="preserve">Data Governance </t>
  </si>
  <si>
    <t>Collibra | Ataccama</t>
  </si>
  <si>
    <t>Data Governance Platform and Search Node</t>
  </si>
  <si>
    <t>Collibra | Ataccama | PostGres</t>
  </si>
  <si>
    <t>Metadata Repository Node (DB Backend)</t>
  </si>
  <si>
    <t>Monitoring Node</t>
  </si>
  <si>
    <t xml:space="preserve">Collibra | Ataccama </t>
  </si>
  <si>
    <t>Console and Web UI Node</t>
  </si>
  <si>
    <t>E</t>
  </si>
  <si>
    <t>Collibra | Ataccama| PostGres</t>
  </si>
  <si>
    <t>Job Server / Lineage Processing Node</t>
  </si>
  <si>
    <t xml:space="preserve">Security and Monitoring </t>
  </si>
  <si>
    <t>Redhat IdM | Red Hat Keycloak</t>
  </si>
  <si>
    <t>Dir Svcs, Kerberos KDC, KMS, Platform Mon</t>
  </si>
  <si>
    <t>In-Memory Cache</t>
  </si>
  <si>
    <t>Redis Enterprise</t>
  </si>
  <si>
    <t>In-Memory Cache w/ Data Partitioning</t>
  </si>
  <si>
    <t>SSD</t>
  </si>
  <si>
    <t>Added</t>
  </si>
  <si>
    <t>BI Frontend Server</t>
  </si>
  <si>
    <t>Oracle Golden Gate</t>
  </si>
  <si>
    <t>CDC</t>
  </si>
  <si>
    <t>GitLab - Source Code Management</t>
  </si>
  <si>
    <t>Prod Code, Prod Configs etc</t>
  </si>
  <si>
    <t>Development</t>
  </si>
  <si>
    <t>Oracle ODI | Golden Gate</t>
  </si>
  <si>
    <t>ETL</t>
  </si>
  <si>
    <t>Master (No HA)</t>
  </si>
  <si>
    <t>Utility + Worker Nodes</t>
  </si>
  <si>
    <t>All Services - Single Node</t>
  </si>
  <si>
    <t>Single Node - All Services</t>
  </si>
  <si>
    <t>OAS | Tableau</t>
  </si>
  <si>
    <t>BI Development</t>
  </si>
  <si>
    <t xml:space="preserve">dev code + branches, </t>
  </si>
  <si>
    <t>Registry | Fleet Patching Provisioning</t>
  </si>
  <si>
    <t>Soruce Images Repository</t>
  </si>
  <si>
    <t>Grand Total</t>
  </si>
  <si>
    <t>Oracle Database</t>
  </si>
  <si>
    <t>Comodity Server</t>
  </si>
  <si>
    <t>Total HDD (TB)</t>
  </si>
  <si>
    <t>Server Total</t>
  </si>
  <si>
    <t>Redhat IdM | Red Hat Keycloak | WSO2</t>
  </si>
  <si>
    <t>Dir Svcs, Kerberos KDC, KMS, Monitoring, API Mgmt</t>
  </si>
  <si>
    <t>Redis Enterprise (RFP Page: 94)</t>
  </si>
  <si>
    <t>Oracle Enterprise Manager</t>
  </si>
  <si>
    <t>Monitoring</t>
  </si>
  <si>
    <t>Oracle Key Vault server</t>
  </si>
  <si>
    <t>Security</t>
  </si>
  <si>
    <r>
      <t xml:space="preserve">Oracle OAS </t>
    </r>
    <r>
      <rPr>
        <sz val="10"/>
        <color theme="1"/>
        <rFont val="Calibri"/>
        <family val="2"/>
        <scheme val="minor"/>
      </rPr>
      <t>(Not included Tableau)</t>
    </r>
  </si>
  <si>
    <t xml:space="preserve">Infra (DHCP, DNS, NTP) </t>
  </si>
  <si>
    <t>Supporting Apps for Cluster</t>
  </si>
  <si>
    <t>Admin - Bastion Hosts</t>
  </si>
  <si>
    <t>Role Jump Boxes (admin, operator etc)</t>
  </si>
  <si>
    <t>Cores/Per Server</t>
  </si>
  <si>
    <t>RAM/Server</t>
  </si>
  <si>
    <t xml:space="preserve">Mapped to Physical Server </t>
  </si>
  <si>
    <t>Mapped to 16 Physical Servers with each server having 2 X 32 Core Processor, 1 TB RAM and 120 TB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</si>
</sst>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mbria"/>
      <family val="1"/>
    </font>
    <font>
      <sz val="11"/>
      <color theme="1"/>
      <name val="Cambria"/>
      <family val="1"/>
    </font>
    <font>
      <sz val="10"/>
      <color rgb="FF1F1F1F"/>
      <name val="Arial"/>
      <family val="2"/>
    </font>
    <font>
      <sz val="11"/>
      <name val="Cambria"/>
      <family val="1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14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23" xfId="0" applyFont="1" applyBorder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8" xfId="0" applyBorder="1"/>
    <xf numFmtId="0" fontId="0" fillId="5" borderId="7" xfId="0" applyFill="1" applyBorder="1" applyAlignment="1">
      <alignment vertical="center"/>
    </xf>
    <xf numFmtId="0" fontId="1" fillId="5" borderId="8" xfId="0" applyFont="1" applyFill="1" applyBorder="1" applyAlignment="1">
      <alignment horizontal="right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0" fillId="0" borderId="7" xfId="0" applyBorder="1" applyAlignment="1">
      <alignment horizontal="left" vertical="center"/>
    </xf>
    <xf numFmtId="0" fontId="0" fillId="0" borderId="17" xfId="0" applyBorder="1"/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5" fillId="0" borderId="2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28</xdr:row>
      <xdr:rowOff>15240</xdr:rowOff>
    </xdr:from>
    <xdr:to>
      <xdr:col>1</xdr:col>
      <xdr:colOff>967740</xdr:colOff>
      <xdr:row>28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9840E2-C711-407E-83CD-FAE9C60689B6}"/>
            </a:ext>
          </a:extLst>
        </xdr:cNvPr>
        <xdr:cNvSpPr txBox="1"/>
      </xdr:nvSpPr>
      <xdr:spPr>
        <a:xfrm>
          <a:off x="632460" y="5974080"/>
          <a:ext cx="944880" cy="1524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Development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1EC9-2BE0-45BB-BA7C-541601DD8189}">
  <sheetPr>
    <tabColor rgb="FF00B050"/>
  </sheetPr>
  <dimension ref="A1:W57"/>
  <sheetViews>
    <sheetView tabSelected="1" topLeftCell="F1" workbookViewId="0">
      <pane ySplit="4" topLeftCell="A5" activePane="bottomLeft" state="frozen"/>
      <selection pane="bottomLeft" activeCell="V6" sqref="V6"/>
    </sheetView>
  </sheetViews>
  <sheetFormatPr defaultRowHeight="14.4" x14ac:dyDescent="0.3"/>
  <cols>
    <col min="2" max="2" width="22.5546875" style="1" bestFit="1" customWidth="1"/>
    <col min="3" max="3" width="16" style="1" bestFit="1" customWidth="1"/>
    <col min="4" max="4" width="7.44140625" style="2" customWidth="1"/>
    <col min="5" max="5" width="38.109375" style="2" bestFit="1" customWidth="1"/>
    <col min="6" max="6" width="43.109375" style="3" bestFit="1" customWidth="1"/>
    <col min="7" max="7" width="15.33203125" style="2" customWidth="1"/>
    <col min="8" max="8" width="12.88671875" style="2" customWidth="1"/>
    <col min="9" max="9" width="6.109375" style="2" customWidth="1"/>
    <col min="10" max="10" width="11" style="2" customWidth="1"/>
    <col min="11" max="11" width="8.33203125" style="2" customWidth="1"/>
    <col min="12" max="12" width="13.6640625" style="2" bestFit="1" customWidth="1"/>
    <col min="13" max="13" width="5.6640625" style="2" customWidth="1"/>
    <col min="14" max="14" width="9.44140625" style="2" bestFit="1" customWidth="1"/>
    <col min="15" max="15" width="6.44140625" style="2" customWidth="1"/>
    <col min="16" max="16" width="8.33203125" style="2" bestFit="1" customWidth="1"/>
    <col min="17" max="17" width="7.109375" style="2" customWidth="1"/>
    <col min="18" max="18" width="6.44140625" style="2" customWidth="1"/>
    <col min="19" max="19" width="5.6640625" style="2" bestFit="1" customWidth="1"/>
    <col min="20" max="20" width="6.88671875" style="2" customWidth="1"/>
    <col min="21" max="21" width="13.33203125" bestFit="1" customWidth="1"/>
    <col min="22" max="22" width="26.88671875" customWidth="1"/>
  </cols>
  <sheetData>
    <row r="1" spans="2:23" ht="15" thickBot="1" x14ac:dyDescent="0.35"/>
    <row r="2" spans="2:23" ht="15" thickBot="1" x14ac:dyDescent="0.35">
      <c r="C2" s="3"/>
      <c r="D2" s="3"/>
      <c r="E2" s="3"/>
      <c r="J2" s="57" t="s">
        <v>0</v>
      </c>
      <c r="K2" s="58"/>
      <c r="L2" s="58"/>
      <c r="M2" s="58"/>
      <c r="N2" s="58"/>
      <c r="O2" s="58"/>
      <c r="P2" s="59"/>
      <c r="Q2" s="60" t="s">
        <v>1</v>
      </c>
      <c r="R2" s="61"/>
      <c r="S2" s="61"/>
      <c r="T2" s="61"/>
      <c r="U2" s="62"/>
    </row>
    <row r="3" spans="2:23" ht="15" thickBot="1" x14ac:dyDescent="0.35">
      <c r="G3" s="63" t="s">
        <v>2</v>
      </c>
      <c r="H3" s="64"/>
      <c r="I3" s="65"/>
      <c r="J3" s="66" t="s">
        <v>86</v>
      </c>
      <c r="K3" s="68" t="s">
        <v>87</v>
      </c>
      <c r="L3" s="5" t="s">
        <v>5</v>
      </c>
      <c r="M3" s="60" t="s">
        <v>6</v>
      </c>
      <c r="N3" s="61"/>
      <c r="O3" s="61"/>
      <c r="P3" s="62"/>
      <c r="Q3" s="70" t="s">
        <v>7</v>
      </c>
      <c r="R3" s="71"/>
      <c r="S3" s="70" t="s">
        <v>8</v>
      </c>
      <c r="T3" s="72"/>
      <c r="U3" s="71"/>
    </row>
    <row r="4" spans="2:23" ht="15" thickBot="1" x14ac:dyDescent="0.35">
      <c r="B4" s="6" t="s">
        <v>9</v>
      </c>
      <c r="C4" s="7" t="s">
        <v>10</v>
      </c>
      <c r="D4" s="8" t="s">
        <v>11</v>
      </c>
      <c r="E4" s="9" t="s">
        <v>12</v>
      </c>
      <c r="F4" s="10" t="s">
        <v>13</v>
      </c>
      <c r="G4" s="11" t="s">
        <v>7</v>
      </c>
      <c r="H4" s="12" t="s">
        <v>8</v>
      </c>
      <c r="I4" s="13" t="s">
        <v>14</v>
      </c>
      <c r="J4" s="67"/>
      <c r="K4" s="69"/>
      <c r="L4" s="14" t="s">
        <v>15</v>
      </c>
      <c r="M4" s="15" t="s">
        <v>16</v>
      </c>
      <c r="N4" s="16" t="s">
        <v>11</v>
      </c>
      <c r="O4" s="16" t="s">
        <v>17</v>
      </c>
      <c r="P4" s="17" t="s">
        <v>18</v>
      </c>
      <c r="Q4" s="14" t="s">
        <v>3</v>
      </c>
      <c r="R4" s="14" t="s">
        <v>4</v>
      </c>
      <c r="S4" s="14" t="s">
        <v>3</v>
      </c>
      <c r="T4" s="14" t="s">
        <v>4</v>
      </c>
      <c r="U4" s="5" t="s">
        <v>72</v>
      </c>
      <c r="V4" s="14" t="s">
        <v>88</v>
      </c>
    </row>
    <row r="5" spans="2:23" x14ac:dyDescent="0.3">
      <c r="B5" s="28" t="s">
        <v>23</v>
      </c>
      <c r="C5" s="1" t="s">
        <v>20</v>
      </c>
      <c r="D5" s="2" t="s">
        <v>24</v>
      </c>
      <c r="E5" s="4" t="s">
        <v>25</v>
      </c>
      <c r="F5" s="3" t="s">
        <v>26</v>
      </c>
      <c r="G5" s="27">
        <v>3</v>
      </c>
      <c r="H5" s="2">
        <v>3</v>
      </c>
      <c r="I5" s="27">
        <v>1</v>
      </c>
      <c r="J5" s="27">
        <v>16</v>
      </c>
      <c r="K5" s="27">
        <v>256</v>
      </c>
      <c r="L5" s="27">
        <v>0.5</v>
      </c>
      <c r="M5" s="29">
        <v>8</v>
      </c>
      <c r="N5" s="2" t="s">
        <v>22</v>
      </c>
      <c r="O5" s="2">
        <v>1</v>
      </c>
      <c r="P5" s="26">
        <f t="shared" ref="P5:P17" si="0">M5*O5</f>
        <v>8</v>
      </c>
      <c r="Q5" s="26">
        <f>J5*G5</f>
        <v>48</v>
      </c>
      <c r="R5" s="26">
        <f>K5*G5</f>
        <v>768</v>
      </c>
      <c r="S5" s="27">
        <f>J5*H5</f>
        <v>48</v>
      </c>
      <c r="T5" s="27">
        <f>K5*H5</f>
        <v>768</v>
      </c>
      <c r="U5" s="44"/>
    </row>
    <row r="6" spans="2:23" ht="57.6" x14ac:dyDescent="0.3">
      <c r="B6" s="28" t="s">
        <v>23</v>
      </c>
      <c r="C6" s="1" t="s">
        <v>20</v>
      </c>
      <c r="D6" s="2" t="s">
        <v>27</v>
      </c>
      <c r="E6" s="4" t="s">
        <v>25</v>
      </c>
      <c r="F6" s="3" t="s">
        <v>28</v>
      </c>
      <c r="G6" s="27">
        <v>9</v>
      </c>
      <c r="H6" s="2">
        <v>21</v>
      </c>
      <c r="I6" s="27">
        <v>10</v>
      </c>
      <c r="J6" s="27">
        <v>32</v>
      </c>
      <c r="K6" s="27">
        <v>512</v>
      </c>
      <c r="L6" s="27">
        <v>0.5</v>
      </c>
      <c r="M6" s="29">
        <v>12</v>
      </c>
      <c r="N6" s="2" t="s">
        <v>22</v>
      </c>
      <c r="O6" s="2">
        <v>2</v>
      </c>
      <c r="P6" s="26">
        <f t="shared" si="0"/>
        <v>24</v>
      </c>
      <c r="Q6" s="26">
        <f>J6*G6</f>
        <v>288</v>
      </c>
      <c r="R6" s="26">
        <f>K6*G6</f>
        <v>4608</v>
      </c>
      <c r="S6" s="27">
        <f>J6*H6</f>
        <v>672</v>
      </c>
      <c r="T6" s="27">
        <f>K6*H6</f>
        <v>10752</v>
      </c>
      <c r="U6" s="44"/>
      <c r="V6" s="73" t="s">
        <v>89</v>
      </c>
    </row>
    <row r="7" spans="2:23" x14ac:dyDescent="0.3">
      <c r="B7" s="28" t="s">
        <v>23</v>
      </c>
      <c r="C7" s="1" t="s">
        <v>20</v>
      </c>
      <c r="D7" s="2" t="s">
        <v>29</v>
      </c>
      <c r="E7" s="4" t="s">
        <v>25</v>
      </c>
      <c r="F7" s="3" t="s">
        <v>30</v>
      </c>
      <c r="G7" s="27">
        <v>3</v>
      </c>
      <c r="H7" s="2">
        <v>3</v>
      </c>
      <c r="I7" s="27">
        <v>1</v>
      </c>
      <c r="J7" s="27">
        <v>32</v>
      </c>
      <c r="K7" s="27">
        <v>512</v>
      </c>
      <c r="L7" s="27">
        <v>0.5</v>
      </c>
      <c r="M7" s="29">
        <v>4</v>
      </c>
      <c r="N7" s="2" t="s">
        <v>22</v>
      </c>
      <c r="O7" s="2">
        <v>4</v>
      </c>
      <c r="P7" s="26">
        <f t="shared" si="0"/>
        <v>16</v>
      </c>
      <c r="Q7" s="26">
        <f>J7*G7</f>
        <v>96</v>
      </c>
      <c r="R7" s="26">
        <f>K7*G7</f>
        <v>1536</v>
      </c>
      <c r="S7" s="27">
        <f>J7*H7</f>
        <v>96</v>
      </c>
      <c r="T7" s="27">
        <f>K7*H7</f>
        <v>1536</v>
      </c>
      <c r="U7" s="44"/>
    </row>
    <row r="8" spans="2:23" ht="15" thickBot="1" x14ac:dyDescent="0.35">
      <c r="B8" s="28" t="s">
        <v>23</v>
      </c>
      <c r="C8" s="1" t="s">
        <v>20</v>
      </c>
      <c r="D8" s="2" t="s">
        <v>31</v>
      </c>
      <c r="E8" s="4" t="s">
        <v>25</v>
      </c>
      <c r="F8" s="3" t="s">
        <v>32</v>
      </c>
      <c r="G8" s="27">
        <v>3</v>
      </c>
      <c r="H8" s="2">
        <v>3</v>
      </c>
      <c r="I8" s="27">
        <v>1</v>
      </c>
      <c r="J8" s="27">
        <v>16</v>
      </c>
      <c r="K8" s="27">
        <v>256</v>
      </c>
      <c r="L8" s="27">
        <v>0.5</v>
      </c>
      <c r="M8" s="29">
        <v>4</v>
      </c>
      <c r="N8" s="2" t="s">
        <v>22</v>
      </c>
      <c r="O8" s="2">
        <v>1</v>
      </c>
      <c r="P8" s="26">
        <f t="shared" si="0"/>
        <v>4</v>
      </c>
      <c r="Q8" s="26">
        <f>J8*G8</f>
        <v>48</v>
      </c>
      <c r="R8" s="26">
        <f>K8*G8</f>
        <v>768</v>
      </c>
      <c r="S8" s="27">
        <f>J8*H8</f>
        <v>48</v>
      </c>
      <c r="T8" s="27">
        <f>K8*H8</f>
        <v>768</v>
      </c>
      <c r="U8" s="44"/>
    </row>
    <row r="9" spans="2:23" ht="15" thickBot="1" x14ac:dyDescent="0.35">
      <c r="B9" s="45"/>
      <c r="C9" s="46" t="s">
        <v>73</v>
      </c>
      <c r="D9" s="46"/>
      <c r="E9" s="46" t="s">
        <v>73</v>
      </c>
      <c r="F9" s="46" t="s">
        <v>73</v>
      </c>
      <c r="G9" s="47"/>
      <c r="H9" s="48">
        <f>SUM(H5:H8)</f>
        <v>30</v>
      </c>
      <c r="I9" s="47"/>
      <c r="J9" s="47"/>
      <c r="K9" s="47"/>
      <c r="L9" s="47"/>
      <c r="M9" s="49"/>
      <c r="N9" s="48"/>
      <c r="O9" s="48"/>
      <c r="P9" s="50">
        <f>SUM(P5:P8)</f>
        <v>52</v>
      </c>
      <c r="Q9" s="50"/>
      <c r="R9" s="50"/>
      <c r="S9" s="50">
        <f t="shared" ref="S9:T9" si="1">SUM(S5:S8)</f>
        <v>864</v>
      </c>
      <c r="T9" s="50">
        <f t="shared" si="1"/>
        <v>13824</v>
      </c>
      <c r="U9" s="47">
        <f>P9*H9</f>
        <v>1560</v>
      </c>
    </row>
    <row r="10" spans="2:23" x14ac:dyDescent="0.3">
      <c r="B10" s="28"/>
      <c r="C10" s="51"/>
      <c r="D10" s="51"/>
      <c r="E10" s="51"/>
      <c r="F10" s="51"/>
      <c r="G10" s="27"/>
      <c r="I10" s="29"/>
      <c r="J10" s="24"/>
      <c r="K10" s="23"/>
      <c r="L10" s="23"/>
      <c r="P10" s="26"/>
      <c r="Q10" s="26"/>
      <c r="R10" s="26"/>
      <c r="S10" s="27"/>
      <c r="T10" s="27"/>
      <c r="U10" s="27"/>
    </row>
    <row r="11" spans="2:23" x14ac:dyDescent="0.3">
      <c r="B11" s="28" t="s">
        <v>33</v>
      </c>
      <c r="C11" s="1" t="s">
        <v>20</v>
      </c>
      <c r="D11" s="2" t="s">
        <v>24</v>
      </c>
      <c r="E11" s="1" t="s">
        <v>34</v>
      </c>
      <c r="F11" s="3" t="s">
        <v>35</v>
      </c>
      <c r="G11" s="27">
        <v>1</v>
      </c>
      <c r="H11" s="2">
        <v>1</v>
      </c>
      <c r="I11" s="29">
        <v>1</v>
      </c>
      <c r="J11" s="27">
        <v>8</v>
      </c>
      <c r="K11" s="27">
        <v>128</v>
      </c>
      <c r="L11" s="27">
        <v>0.5</v>
      </c>
      <c r="M11" s="2">
        <v>2</v>
      </c>
      <c r="N11" s="2" t="s">
        <v>22</v>
      </c>
      <c r="O11" s="2">
        <v>2</v>
      </c>
      <c r="P11" s="26">
        <f t="shared" si="0"/>
        <v>4</v>
      </c>
      <c r="Q11" s="26">
        <f t="shared" ref="Q11:Q18" si="2">J11*G11</f>
        <v>8</v>
      </c>
      <c r="R11" s="26">
        <f t="shared" ref="R11:R18" si="3">K11*G11</f>
        <v>128</v>
      </c>
      <c r="S11" s="27">
        <f t="shared" ref="S11:S18" si="4">J11*H11</f>
        <v>8</v>
      </c>
      <c r="T11" s="27">
        <f t="shared" ref="T11:T18" si="5">K11*H11</f>
        <v>128</v>
      </c>
      <c r="U11" s="44"/>
    </row>
    <row r="12" spans="2:23" x14ac:dyDescent="0.3">
      <c r="B12" s="28" t="s">
        <v>33</v>
      </c>
      <c r="C12" s="1" t="s">
        <v>20</v>
      </c>
      <c r="D12" s="2" t="s">
        <v>27</v>
      </c>
      <c r="E12" s="1" t="s">
        <v>36</v>
      </c>
      <c r="F12" s="3" t="s">
        <v>37</v>
      </c>
      <c r="G12" s="27">
        <v>1</v>
      </c>
      <c r="H12" s="2">
        <v>1</v>
      </c>
      <c r="I12" s="29">
        <v>1</v>
      </c>
      <c r="J12" s="27">
        <v>8</v>
      </c>
      <c r="K12" s="27">
        <v>128</v>
      </c>
      <c r="L12" s="27">
        <v>0.5</v>
      </c>
      <c r="M12" s="2">
        <v>2</v>
      </c>
      <c r="N12" s="2" t="s">
        <v>22</v>
      </c>
      <c r="O12" s="2">
        <v>4</v>
      </c>
      <c r="P12" s="26">
        <f t="shared" si="0"/>
        <v>8</v>
      </c>
      <c r="Q12" s="26">
        <f t="shared" si="2"/>
        <v>8</v>
      </c>
      <c r="R12" s="26">
        <f t="shared" si="3"/>
        <v>128</v>
      </c>
      <c r="S12" s="27">
        <f t="shared" si="4"/>
        <v>8</v>
      </c>
      <c r="T12" s="27">
        <f t="shared" si="5"/>
        <v>128</v>
      </c>
      <c r="U12" s="44"/>
    </row>
    <row r="13" spans="2:23" x14ac:dyDescent="0.3">
      <c r="B13" s="28" t="s">
        <v>33</v>
      </c>
      <c r="C13" s="1" t="s">
        <v>20</v>
      </c>
      <c r="D13" s="2" t="s">
        <v>29</v>
      </c>
      <c r="E13" s="1" t="s">
        <v>36</v>
      </c>
      <c r="F13" s="3" t="s">
        <v>38</v>
      </c>
      <c r="G13" s="27">
        <v>1</v>
      </c>
      <c r="H13" s="2">
        <v>1</v>
      </c>
      <c r="I13" s="29">
        <v>1</v>
      </c>
      <c r="J13" s="27">
        <v>4</v>
      </c>
      <c r="K13" s="27">
        <v>64</v>
      </c>
      <c r="L13" s="27">
        <v>0.5</v>
      </c>
      <c r="M13" s="2">
        <v>2</v>
      </c>
      <c r="N13" s="2" t="s">
        <v>22</v>
      </c>
      <c r="O13" s="2">
        <v>2</v>
      </c>
      <c r="P13" s="26">
        <f t="shared" si="0"/>
        <v>4</v>
      </c>
      <c r="Q13" s="26">
        <f t="shared" si="2"/>
        <v>4</v>
      </c>
      <c r="R13" s="26">
        <f t="shared" si="3"/>
        <v>64</v>
      </c>
      <c r="S13" s="27">
        <f t="shared" si="4"/>
        <v>4</v>
      </c>
      <c r="T13" s="27">
        <f t="shared" si="5"/>
        <v>64</v>
      </c>
      <c r="U13" s="44"/>
      <c r="W13" s="30"/>
    </row>
    <row r="14" spans="2:23" x14ac:dyDescent="0.3">
      <c r="B14" s="28" t="s">
        <v>33</v>
      </c>
      <c r="C14" s="1" t="s">
        <v>20</v>
      </c>
      <c r="D14" s="2" t="s">
        <v>31</v>
      </c>
      <c r="E14" s="1" t="s">
        <v>39</v>
      </c>
      <c r="F14" s="3" t="s">
        <v>40</v>
      </c>
      <c r="G14" s="27">
        <v>1</v>
      </c>
      <c r="H14" s="2">
        <v>1</v>
      </c>
      <c r="I14" s="29">
        <v>1</v>
      </c>
      <c r="J14" s="27">
        <v>4</v>
      </c>
      <c r="K14" s="27">
        <v>64</v>
      </c>
      <c r="L14" s="27">
        <v>0.5</v>
      </c>
      <c r="M14" s="2">
        <v>2</v>
      </c>
      <c r="N14" s="2" t="s">
        <v>22</v>
      </c>
      <c r="O14" s="2">
        <v>1</v>
      </c>
      <c r="P14" s="26">
        <f t="shared" si="0"/>
        <v>2</v>
      </c>
      <c r="Q14" s="26">
        <f t="shared" si="2"/>
        <v>4</v>
      </c>
      <c r="R14" s="26">
        <f t="shared" si="3"/>
        <v>64</v>
      </c>
      <c r="S14" s="27">
        <f t="shared" si="4"/>
        <v>4</v>
      </c>
      <c r="T14" s="27">
        <f t="shared" si="5"/>
        <v>64</v>
      </c>
      <c r="U14" s="44"/>
      <c r="W14" s="31"/>
    </row>
    <row r="15" spans="2:23" x14ac:dyDescent="0.3">
      <c r="B15" s="28" t="s">
        <v>33</v>
      </c>
      <c r="C15" s="1" t="s">
        <v>20</v>
      </c>
      <c r="D15" s="2" t="s">
        <v>41</v>
      </c>
      <c r="E15" s="1" t="s">
        <v>42</v>
      </c>
      <c r="F15" s="3" t="s">
        <v>43</v>
      </c>
      <c r="G15" s="27">
        <v>1</v>
      </c>
      <c r="H15" s="2">
        <v>3</v>
      </c>
      <c r="I15" s="29">
        <v>1</v>
      </c>
      <c r="J15" s="27">
        <v>16</v>
      </c>
      <c r="K15" s="27">
        <v>256</v>
      </c>
      <c r="L15" s="27">
        <v>0.5</v>
      </c>
      <c r="M15" s="2">
        <v>2</v>
      </c>
      <c r="N15" s="2" t="s">
        <v>22</v>
      </c>
      <c r="O15" s="2">
        <v>2</v>
      </c>
      <c r="P15" s="26">
        <f t="shared" si="0"/>
        <v>4</v>
      </c>
      <c r="Q15" s="26">
        <f t="shared" si="2"/>
        <v>16</v>
      </c>
      <c r="R15" s="26">
        <f t="shared" si="3"/>
        <v>256</v>
      </c>
      <c r="S15" s="27">
        <f t="shared" si="4"/>
        <v>48</v>
      </c>
      <c r="T15" s="27">
        <f t="shared" si="5"/>
        <v>768</v>
      </c>
      <c r="U15" s="44"/>
    </row>
    <row r="16" spans="2:23" ht="16.2" customHeight="1" x14ac:dyDescent="0.3">
      <c r="B16" s="32" t="s">
        <v>44</v>
      </c>
      <c r="C16" s="4" t="s">
        <v>20</v>
      </c>
      <c r="D16" s="2" t="s">
        <v>24</v>
      </c>
      <c r="E16" s="1" t="s">
        <v>74</v>
      </c>
      <c r="F16" s="3" t="s">
        <v>75</v>
      </c>
      <c r="G16" s="27">
        <v>2</v>
      </c>
      <c r="H16" s="2">
        <v>2</v>
      </c>
      <c r="I16" s="29">
        <v>1</v>
      </c>
      <c r="J16" s="27">
        <v>16</v>
      </c>
      <c r="K16" s="27">
        <v>256</v>
      </c>
      <c r="L16" s="27">
        <v>0.5</v>
      </c>
      <c r="M16" s="2">
        <v>2</v>
      </c>
      <c r="N16" s="2" t="s">
        <v>22</v>
      </c>
      <c r="O16" s="2">
        <v>2</v>
      </c>
      <c r="P16" s="26">
        <f t="shared" si="0"/>
        <v>4</v>
      </c>
      <c r="Q16" s="26">
        <f t="shared" si="2"/>
        <v>32</v>
      </c>
      <c r="R16" s="26">
        <f t="shared" si="3"/>
        <v>512</v>
      </c>
      <c r="S16" s="27">
        <f t="shared" si="4"/>
        <v>32</v>
      </c>
      <c r="T16" s="27">
        <f t="shared" si="5"/>
        <v>512</v>
      </c>
      <c r="U16" s="44"/>
    </row>
    <row r="17" spans="2:22" x14ac:dyDescent="0.3">
      <c r="B17" s="32" t="s">
        <v>47</v>
      </c>
      <c r="C17" s="1" t="s">
        <v>20</v>
      </c>
      <c r="D17" s="33" t="s">
        <v>24</v>
      </c>
      <c r="E17" s="34" t="s">
        <v>76</v>
      </c>
      <c r="F17" s="35" t="s">
        <v>49</v>
      </c>
      <c r="G17" s="27">
        <v>3</v>
      </c>
      <c r="H17" s="2">
        <v>5</v>
      </c>
      <c r="I17" s="29">
        <v>2</v>
      </c>
      <c r="J17" s="27">
        <v>16</v>
      </c>
      <c r="K17" s="27">
        <v>128</v>
      </c>
      <c r="L17" s="27">
        <v>0.5</v>
      </c>
      <c r="M17" s="2">
        <v>2</v>
      </c>
      <c r="N17" s="2" t="s">
        <v>22</v>
      </c>
      <c r="O17" s="2">
        <v>1</v>
      </c>
      <c r="P17" s="26">
        <f t="shared" si="0"/>
        <v>2</v>
      </c>
      <c r="Q17" s="26">
        <f t="shared" si="2"/>
        <v>48</v>
      </c>
      <c r="R17" s="26">
        <f t="shared" si="3"/>
        <v>384</v>
      </c>
      <c r="S17" s="27">
        <f t="shared" si="4"/>
        <v>80</v>
      </c>
      <c r="T17" s="27">
        <f t="shared" si="5"/>
        <v>640</v>
      </c>
      <c r="U17" s="44"/>
    </row>
    <row r="18" spans="2:22" ht="15" thickBot="1" x14ac:dyDescent="0.35">
      <c r="B18" s="32" t="s">
        <v>51</v>
      </c>
      <c r="C18" s="1" t="s">
        <v>20</v>
      </c>
      <c r="E18" s="4" t="s">
        <v>55</v>
      </c>
      <c r="F18" s="3" t="s">
        <v>56</v>
      </c>
      <c r="G18" s="27">
        <v>3</v>
      </c>
      <c r="H18" s="2">
        <v>3</v>
      </c>
      <c r="I18" s="29">
        <v>1</v>
      </c>
      <c r="J18" s="27">
        <v>16</v>
      </c>
      <c r="K18" s="27">
        <v>128</v>
      </c>
      <c r="L18" s="27">
        <v>1</v>
      </c>
      <c r="M18" s="2">
        <v>4</v>
      </c>
      <c r="N18" s="2" t="s">
        <v>50</v>
      </c>
      <c r="O18" s="2">
        <v>4</v>
      </c>
      <c r="P18" s="26">
        <f>M18*O18</f>
        <v>16</v>
      </c>
      <c r="Q18" s="26">
        <f t="shared" si="2"/>
        <v>48</v>
      </c>
      <c r="R18" s="26">
        <f t="shared" si="3"/>
        <v>384</v>
      </c>
      <c r="S18" s="27">
        <f t="shared" si="4"/>
        <v>48</v>
      </c>
      <c r="T18" s="27">
        <f t="shared" si="5"/>
        <v>384</v>
      </c>
      <c r="U18" s="44"/>
    </row>
    <row r="19" spans="2:22" ht="15" thickBot="1" x14ac:dyDescent="0.35">
      <c r="B19" s="45"/>
      <c r="C19" s="46" t="s">
        <v>73</v>
      </c>
      <c r="D19" s="46"/>
      <c r="E19" s="46" t="s">
        <v>73</v>
      </c>
      <c r="F19" s="46" t="s">
        <v>73</v>
      </c>
      <c r="G19" s="47"/>
      <c r="H19" s="48">
        <f>SUM(H11:H18)</f>
        <v>17</v>
      </c>
      <c r="I19" s="47"/>
      <c r="J19" s="47"/>
      <c r="K19" s="47"/>
      <c r="L19" s="47"/>
      <c r="M19" s="49"/>
      <c r="N19" s="48"/>
      <c r="O19" s="48"/>
      <c r="P19" s="50">
        <f>SUM(P11:P18)</f>
        <v>44</v>
      </c>
      <c r="Q19" s="50"/>
      <c r="R19" s="50"/>
      <c r="S19" s="50">
        <f>SUM(S11:S18)</f>
        <v>232</v>
      </c>
      <c r="T19" s="50">
        <f>SUM(T11:T18)</f>
        <v>2688</v>
      </c>
      <c r="U19" s="47">
        <f>P19*H19</f>
        <v>748</v>
      </c>
      <c r="V19" s="55"/>
    </row>
    <row r="20" spans="2:22" x14ac:dyDescent="0.3">
      <c r="B20" s="18" t="s">
        <v>19</v>
      </c>
      <c r="C20" s="19" t="s">
        <v>20</v>
      </c>
      <c r="D20" s="20"/>
      <c r="E20" s="21" t="s">
        <v>21</v>
      </c>
      <c r="F20" s="22"/>
      <c r="G20" s="23">
        <v>2</v>
      </c>
      <c r="H20" s="20">
        <v>2</v>
      </c>
      <c r="I20" s="23">
        <v>1</v>
      </c>
      <c r="J20" s="27">
        <v>32</v>
      </c>
      <c r="K20" s="27">
        <v>256</v>
      </c>
      <c r="L20" s="23">
        <v>1</v>
      </c>
      <c r="M20" s="24">
        <v>0</v>
      </c>
      <c r="N20" s="20" t="s">
        <v>22</v>
      </c>
      <c r="O20" s="20">
        <v>0</v>
      </c>
      <c r="P20" s="25">
        <f>M20*O20</f>
        <v>0</v>
      </c>
      <c r="Q20" s="26">
        <f>J20*G20</f>
        <v>64</v>
      </c>
      <c r="R20" s="26">
        <f>K20*G20</f>
        <v>512</v>
      </c>
      <c r="S20" s="27">
        <f>J20*H20</f>
        <v>64</v>
      </c>
      <c r="T20" s="27">
        <f>K20*H20</f>
        <v>512</v>
      </c>
      <c r="U20" s="44"/>
    </row>
    <row r="21" spans="2:22" x14ac:dyDescent="0.3">
      <c r="B21" s="32" t="s">
        <v>51</v>
      </c>
      <c r="C21" s="1" t="s">
        <v>20</v>
      </c>
      <c r="D21" s="33"/>
      <c r="E21" s="4" t="s">
        <v>81</v>
      </c>
      <c r="F21" s="1" t="s">
        <v>52</v>
      </c>
      <c r="G21" s="27">
        <v>2</v>
      </c>
      <c r="H21" s="2">
        <v>2</v>
      </c>
      <c r="I21" s="27">
        <v>1</v>
      </c>
      <c r="J21" s="27">
        <v>32</v>
      </c>
      <c r="K21" s="27">
        <v>256</v>
      </c>
      <c r="L21" s="27">
        <v>1</v>
      </c>
      <c r="M21" s="29">
        <v>4</v>
      </c>
      <c r="N21" s="2" t="s">
        <v>22</v>
      </c>
      <c r="O21" s="2">
        <v>2</v>
      </c>
      <c r="P21" s="26">
        <f>M21*O21</f>
        <v>8</v>
      </c>
      <c r="Q21" s="26">
        <f>J21*G21</f>
        <v>64</v>
      </c>
      <c r="R21" s="26">
        <f>K21*G21</f>
        <v>512</v>
      </c>
      <c r="S21" s="27">
        <f>J21*H21</f>
        <v>64</v>
      </c>
      <c r="T21" s="27">
        <f>K21*H21</f>
        <v>512</v>
      </c>
      <c r="U21" s="44"/>
    </row>
    <row r="22" spans="2:22" x14ac:dyDescent="0.3">
      <c r="B22" s="32" t="s">
        <v>51</v>
      </c>
      <c r="C22" s="1" t="s">
        <v>20</v>
      </c>
      <c r="E22" s="4" t="s">
        <v>53</v>
      </c>
      <c r="F22" s="3" t="s">
        <v>54</v>
      </c>
      <c r="G22" s="27">
        <v>2</v>
      </c>
      <c r="H22" s="2">
        <v>2</v>
      </c>
      <c r="I22" s="27">
        <v>1</v>
      </c>
      <c r="J22" s="27">
        <v>16</v>
      </c>
      <c r="K22" s="27">
        <v>128</v>
      </c>
      <c r="L22" s="27">
        <v>1</v>
      </c>
      <c r="M22" s="29">
        <v>2</v>
      </c>
      <c r="N22" s="2" t="s">
        <v>22</v>
      </c>
      <c r="O22" s="2">
        <v>1</v>
      </c>
      <c r="P22" s="26">
        <f>M22*O22</f>
        <v>2</v>
      </c>
      <c r="Q22" s="26">
        <f>J22*G22</f>
        <v>32</v>
      </c>
      <c r="R22" s="26">
        <f>K22*G22</f>
        <v>256</v>
      </c>
      <c r="S22" s="27">
        <f>J22*H22</f>
        <v>32</v>
      </c>
      <c r="T22" s="27">
        <f>K22*H22</f>
        <v>256</v>
      </c>
      <c r="U22" s="44"/>
    </row>
    <row r="23" spans="2:22" x14ac:dyDescent="0.3">
      <c r="B23" s="56" t="s">
        <v>51</v>
      </c>
      <c r="C23" s="1" t="s">
        <v>20</v>
      </c>
      <c r="E23" s="4" t="s">
        <v>77</v>
      </c>
      <c r="F23" s="3" t="s">
        <v>78</v>
      </c>
      <c r="G23" s="27">
        <v>1</v>
      </c>
      <c r="H23" s="2">
        <v>1</v>
      </c>
      <c r="I23" s="27">
        <v>1</v>
      </c>
      <c r="J23" s="27">
        <v>16</v>
      </c>
      <c r="K23" s="27">
        <v>128</v>
      </c>
      <c r="L23" s="27"/>
      <c r="M23" s="29"/>
      <c r="P23" s="26"/>
      <c r="Q23" s="26"/>
      <c r="R23" s="26"/>
      <c r="S23" s="27"/>
      <c r="T23" s="27"/>
      <c r="U23" s="44"/>
    </row>
    <row r="24" spans="2:22" x14ac:dyDescent="0.3">
      <c r="B24" s="56" t="s">
        <v>51</v>
      </c>
      <c r="C24" s="1" t="s">
        <v>20</v>
      </c>
      <c r="E24" s="4" t="s">
        <v>79</v>
      </c>
      <c r="F24" s="3" t="s">
        <v>80</v>
      </c>
      <c r="G24" s="27">
        <v>2</v>
      </c>
      <c r="H24" s="2">
        <v>2</v>
      </c>
      <c r="I24" s="27">
        <v>1</v>
      </c>
      <c r="J24" s="27">
        <v>32</v>
      </c>
      <c r="K24" s="27">
        <v>128</v>
      </c>
      <c r="L24" s="27"/>
      <c r="M24" s="29"/>
      <c r="P24" s="26"/>
      <c r="Q24" s="26"/>
      <c r="R24" s="26"/>
      <c r="S24" s="27"/>
      <c r="T24" s="27"/>
      <c r="U24" s="44"/>
    </row>
    <row r="25" spans="2:22" x14ac:dyDescent="0.3">
      <c r="B25" s="32" t="s">
        <v>51</v>
      </c>
      <c r="C25" s="1" t="s">
        <v>20</v>
      </c>
      <c r="E25" s="4" t="s">
        <v>82</v>
      </c>
      <c r="F25" s="3" t="s">
        <v>83</v>
      </c>
      <c r="G25" s="27">
        <v>2</v>
      </c>
      <c r="H25" s="2">
        <v>2</v>
      </c>
      <c r="I25" s="27">
        <v>1</v>
      </c>
      <c r="J25" s="27">
        <v>16</v>
      </c>
      <c r="K25" s="27">
        <v>128</v>
      </c>
      <c r="L25" s="27">
        <v>1</v>
      </c>
      <c r="M25" s="29">
        <v>4</v>
      </c>
      <c r="N25" s="2" t="s">
        <v>50</v>
      </c>
      <c r="O25" s="2">
        <v>4</v>
      </c>
      <c r="P25" s="26">
        <f>M25*O25</f>
        <v>16</v>
      </c>
      <c r="Q25" s="26"/>
      <c r="R25" s="26"/>
      <c r="S25" s="27"/>
      <c r="T25" s="27"/>
      <c r="U25" s="44"/>
    </row>
    <row r="26" spans="2:22" x14ac:dyDescent="0.3">
      <c r="B26" s="32"/>
      <c r="E26" s="4" t="s">
        <v>67</v>
      </c>
      <c r="F26" s="3" t="s">
        <v>68</v>
      </c>
      <c r="G26" s="27"/>
      <c r="I26" s="27"/>
      <c r="J26" s="27"/>
      <c r="K26" s="27"/>
      <c r="L26" s="29"/>
      <c r="O26" s="26"/>
      <c r="P26" s="26"/>
      <c r="Q26" s="26"/>
      <c r="R26" s="27"/>
      <c r="S26" s="27"/>
      <c r="U26" s="44"/>
    </row>
    <row r="27" spans="2:22" ht="15" thickBot="1" x14ac:dyDescent="0.35">
      <c r="B27" s="32"/>
      <c r="E27" s="4" t="s">
        <v>84</v>
      </c>
      <c r="F27" s="3" t="s">
        <v>85</v>
      </c>
      <c r="G27" s="27"/>
      <c r="I27" s="27"/>
      <c r="J27" s="27"/>
      <c r="K27" s="27"/>
      <c r="L27" s="29"/>
      <c r="O27" s="26"/>
      <c r="P27" s="26"/>
      <c r="Q27" s="26"/>
      <c r="R27" s="27"/>
      <c r="S27" s="27"/>
      <c r="U27" s="44"/>
    </row>
    <row r="28" spans="2:22" ht="15" thickBot="1" x14ac:dyDescent="0.35">
      <c r="B28" s="45"/>
      <c r="C28" s="46" t="s">
        <v>73</v>
      </c>
      <c r="D28" s="46"/>
      <c r="E28" s="46" t="s">
        <v>73</v>
      </c>
      <c r="F28" s="46" t="s">
        <v>73</v>
      </c>
      <c r="G28" s="47"/>
      <c r="H28" s="48">
        <f>SUM(H20:H24)</f>
        <v>9</v>
      </c>
      <c r="I28" s="47"/>
      <c r="J28" s="47"/>
      <c r="K28" s="47"/>
      <c r="L28" s="47"/>
      <c r="M28" s="49"/>
      <c r="N28" s="48"/>
      <c r="O28" s="48"/>
      <c r="P28" s="48">
        <f>SUM(P21:P24)</f>
        <v>10</v>
      </c>
      <c r="Q28" s="50"/>
      <c r="R28" s="50"/>
      <c r="S28" s="48">
        <f>SUM(S21:S24)</f>
        <v>96</v>
      </c>
      <c r="T28" s="48">
        <f>SUM(T21:T24)</f>
        <v>768</v>
      </c>
      <c r="U28" s="47">
        <f>P28*H28</f>
        <v>90</v>
      </c>
      <c r="V28" s="55"/>
    </row>
    <row r="29" spans="2:22" x14ac:dyDescent="0.3">
      <c r="B29" s="52"/>
      <c r="E29" s="4"/>
      <c r="G29" s="27"/>
      <c r="H29" s="26"/>
      <c r="I29" s="26"/>
      <c r="J29" s="27"/>
      <c r="K29" s="27"/>
      <c r="L29" s="27"/>
      <c r="M29" s="29"/>
      <c r="P29" s="26"/>
      <c r="Q29" s="23"/>
      <c r="R29" s="25"/>
      <c r="S29" s="23"/>
      <c r="T29" s="23"/>
      <c r="U29" s="44"/>
    </row>
    <row r="30" spans="2:22" x14ac:dyDescent="0.3">
      <c r="B30" s="28" t="s">
        <v>19</v>
      </c>
      <c r="C30" s="1" t="s">
        <v>57</v>
      </c>
      <c r="E30" s="4" t="s">
        <v>58</v>
      </c>
      <c r="F30" s="3" t="s">
        <v>59</v>
      </c>
      <c r="G30" s="27">
        <v>1</v>
      </c>
      <c r="H30" s="26">
        <v>1</v>
      </c>
      <c r="I30" s="26">
        <v>0</v>
      </c>
      <c r="J30" s="27">
        <v>16</v>
      </c>
      <c r="K30" s="27">
        <v>256</v>
      </c>
      <c r="L30" s="27">
        <v>1</v>
      </c>
      <c r="M30" s="29">
        <v>0</v>
      </c>
      <c r="N30" s="2" t="s">
        <v>22</v>
      </c>
      <c r="O30" s="2">
        <v>0</v>
      </c>
      <c r="P30" s="26">
        <f t="shared" ref="P30:P38" si="6">M30*O30</f>
        <v>0</v>
      </c>
      <c r="Q30" s="27">
        <f t="shared" ref="Q30:Q38" si="7">J30*G30</f>
        <v>16</v>
      </c>
      <c r="R30" s="26">
        <f t="shared" ref="R30:R38" si="8">K30*G30</f>
        <v>256</v>
      </c>
      <c r="S30" s="27">
        <f t="shared" ref="S30:S38" si="9">J30*H30</f>
        <v>16</v>
      </c>
      <c r="T30" s="27">
        <f t="shared" ref="T30:T38" si="10">K30*H30</f>
        <v>256</v>
      </c>
      <c r="U30" s="44"/>
    </row>
    <row r="31" spans="2:22" x14ac:dyDescent="0.3">
      <c r="B31" s="28" t="s">
        <v>23</v>
      </c>
      <c r="C31" s="1" t="s">
        <v>57</v>
      </c>
      <c r="D31" s="2" t="s">
        <v>24</v>
      </c>
      <c r="E31" s="4" t="s">
        <v>25</v>
      </c>
      <c r="F31" s="3" t="s">
        <v>60</v>
      </c>
      <c r="G31" s="27">
        <v>1</v>
      </c>
      <c r="H31" s="26">
        <v>1</v>
      </c>
      <c r="I31" s="26">
        <v>0</v>
      </c>
      <c r="J31" s="27">
        <v>16</v>
      </c>
      <c r="K31" s="27">
        <v>256</v>
      </c>
      <c r="L31" s="27">
        <v>0.5</v>
      </c>
      <c r="M31" s="29">
        <v>8</v>
      </c>
      <c r="N31" s="2" t="s">
        <v>22</v>
      </c>
      <c r="O31" s="2">
        <v>1</v>
      </c>
      <c r="P31" s="26">
        <f t="shared" si="6"/>
        <v>8</v>
      </c>
      <c r="Q31" s="27">
        <f t="shared" si="7"/>
        <v>16</v>
      </c>
      <c r="R31" s="26">
        <f t="shared" si="8"/>
        <v>256</v>
      </c>
      <c r="S31" s="27">
        <f t="shared" si="9"/>
        <v>16</v>
      </c>
      <c r="T31" s="27">
        <f t="shared" si="10"/>
        <v>256</v>
      </c>
      <c r="U31" s="44"/>
    </row>
    <row r="32" spans="2:22" x14ac:dyDescent="0.3">
      <c r="B32" s="28" t="s">
        <v>23</v>
      </c>
      <c r="C32" s="1" t="s">
        <v>57</v>
      </c>
      <c r="D32" s="2" t="s">
        <v>27</v>
      </c>
      <c r="E32" s="4" t="s">
        <v>25</v>
      </c>
      <c r="F32" s="3" t="s">
        <v>61</v>
      </c>
      <c r="G32" s="27">
        <v>3</v>
      </c>
      <c r="H32" s="26">
        <v>3</v>
      </c>
      <c r="I32" s="26">
        <v>0</v>
      </c>
      <c r="J32" s="27">
        <v>32</v>
      </c>
      <c r="K32" s="27">
        <v>512</v>
      </c>
      <c r="L32" s="27">
        <v>0.5</v>
      </c>
      <c r="M32" s="29">
        <v>12</v>
      </c>
      <c r="N32" s="2" t="s">
        <v>22</v>
      </c>
      <c r="O32" s="2">
        <v>2</v>
      </c>
      <c r="P32" s="26">
        <f t="shared" si="6"/>
        <v>24</v>
      </c>
      <c r="Q32" s="27">
        <f t="shared" si="7"/>
        <v>96</v>
      </c>
      <c r="R32" s="26">
        <f t="shared" si="8"/>
        <v>1536</v>
      </c>
      <c r="S32" s="27">
        <f t="shared" si="9"/>
        <v>96</v>
      </c>
      <c r="T32" s="27">
        <f t="shared" si="10"/>
        <v>1536</v>
      </c>
      <c r="U32" s="44"/>
    </row>
    <row r="33" spans="1:22" x14ac:dyDescent="0.3">
      <c r="B33" s="28" t="s">
        <v>33</v>
      </c>
      <c r="C33" s="1" t="s">
        <v>57</v>
      </c>
      <c r="D33" s="2" t="s">
        <v>41</v>
      </c>
      <c r="E33" s="1" t="s">
        <v>36</v>
      </c>
      <c r="F33" s="3" t="s">
        <v>62</v>
      </c>
      <c r="G33" s="27">
        <v>1</v>
      </c>
      <c r="H33" s="26">
        <v>1</v>
      </c>
      <c r="I33" s="26">
        <v>0</v>
      </c>
      <c r="J33" s="27">
        <v>16</v>
      </c>
      <c r="K33" s="27">
        <v>256</v>
      </c>
      <c r="L33" s="27">
        <v>0.5</v>
      </c>
      <c r="M33" s="29">
        <v>2</v>
      </c>
      <c r="N33" s="2" t="s">
        <v>22</v>
      </c>
      <c r="O33" s="2">
        <v>2</v>
      </c>
      <c r="P33" s="26">
        <f t="shared" si="6"/>
        <v>4</v>
      </c>
      <c r="Q33" s="27">
        <f t="shared" si="7"/>
        <v>16</v>
      </c>
      <c r="R33" s="26">
        <f t="shared" si="8"/>
        <v>256</v>
      </c>
      <c r="S33" s="27">
        <f t="shared" si="9"/>
        <v>16</v>
      </c>
      <c r="T33" s="27">
        <f t="shared" si="10"/>
        <v>256</v>
      </c>
      <c r="U33" s="44"/>
    </row>
    <row r="34" spans="1:22" x14ac:dyDescent="0.3">
      <c r="B34" s="32" t="s">
        <v>44</v>
      </c>
      <c r="C34" s="4" t="s">
        <v>57</v>
      </c>
      <c r="D34" s="2" t="s">
        <v>24</v>
      </c>
      <c r="E34" s="1" t="s">
        <v>45</v>
      </c>
      <c r="F34" s="3" t="s">
        <v>46</v>
      </c>
      <c r="G34" s="27">
        <v>1</v>
      </c>
      <c r="H34" s="26">
        <v>1</v>
      </c>
      <c r="I34" s="26">
        <v>0</v>
      </c>
      <c r="J34" s="27">
        <v>16</v>
      </c>
      <c r="K34" s="27">
        <v>256</v>
      </c>
      <c r="L34" s="27">
        <v>0.5</v>
      </c>
      <c r="M34" s="29">
        <v>2</v>
      </c>
      <c r="N34" s="2" t="s">
        <v>22</v>
      </c>
      <c r="O34" s="2">
        <v>2</v>
      </c>
      <c r="P34" s="26">
        <f t="shared" si="6"/>
        <v>4</v>
      </c>
      <c r="Q34" s="27">
        <f t="shared" si="7"/>
        <v>16</v>
      </c>
      <c r="R34" s="26">
        <f t="shared" si="8"/>
        <v>256</v>
      </c>
      <c r="S34" s="27">
        <f t="shared" si="9"/>
        <v>16</v>
      </c>
      <c r="T34" s="27">
        <f t="shared" si="10"/>
        <v>256</v>
      </c>
      <c r="U34" s="44"/>
    </row>
    <row r="35" spans="1:22" x14ac:dyDescent="0.3">
      <c r="B35" s="32" t="s">
        <v>47</v>
      </c>
      <c r="C35" s="1" t="s">
        <v>57</v>
      </c>
      <c r="D35" s="33" t="s">
        <v>24</v>
      </c>
      <c r="E35" s="4" t="s">
        <v>48</v>
      </c>
      <c r="F35" s="1" t="s">
        <v>63</v>
      </c>
      <c r="G35" s="27">
        <v>1</v>
      </c>
      <c r="H35" s="26">
        <v>1</v>
      </c>
      <c r="I35" s="26">
        <v>0</v>
      </c>
      <c r="J35" s="27">
        <v>8</v>
      </c>
      <c r="K35" s="27">
        <v>128</v>
      </c>
      <c r="L35" s="27">
        <v>0.5</v>
      </c>
      <c r="M35" s="29">
        <v>2</v>
      </c>
      <c r="N35" s="2" t="s">
        <v>22</v>
      </c>
      <c r="O35" s="2">
        <v>2</v>
      </c>
      <c r="P35" s="26">
        <f t="shared" si="6"/>
        <v>4</v>
      </c>
      <c r="Q35" s="27">
        <f t="shared" si="7"/>
        <v>8</v>
      </c>
      <c r="R35" s="26">
        <f t="shared" si="8"/>
        <v>128</v>
      </c>
      <c r="S35" s="27">
        <f t="shared" si="9"/>
        <v>8</v>
      </c>
      <c r="T35" s="27">
        <f t="shared" si="10"/>
        <v>128</v>
      </c>
      <c r="U35" s="44"/>
    </row>
    <row r="36" spans="1:22" x14ac:dyDescent="0.3">
      <c r="B36" s="32" t="s">
        <v>51</v>
      </c>
      <c r="C36" s="1" t="s">
        <v>57</v>
      </c>
      <c r="E36" s="1" t="s">
        <v>64</v>
      </c>
      <c r="F36" s="3" t="s">
        <v>65</v>
      </c>
      <c r="G36" s="27">
        <v>1</v>
      </c>
      <c r="H36" s="26">
        <v>1</v>
      </c>
      <c r="I36" s="26">
        <v>0</v>
      </c>
      <c r="J36" s="27">
        <v>32</v>
      </c>
      <c r="K36" s="27">
        <v>256</v>
      </c>
      <c r="L36" s="27">
        <v>1</v>
      </c>
      <c r="M36" s="29">
        <v>4</v>
      </c>
      <c r="N36" s="2" t="s">
        <v>22</v>
      </c>
      <c r="O36" s="2">
        <v>4</v>
      </c>
      <c r="P36" s="26">
        <f t="shared" si="6"/>
        <v>16</v>
      </c>
      <c r="Q36" s="27">
        <f t="shared" si="7"/>
        <v>32</v>
      </c>
      <c r="R36" s="26">
        <f t="shared" si="8"/>
        <v>256</v>
      </c>
      <c r="S36" s="27">
        <f t="shared" si="9"/>
        <v>32</v>
      </c>
      <c r="T36" s="27">
        <f t="shared" si="10"/>
        <v>256</v>
      </c>
      <c r="U36" s="44"/>
    </row>
    <row r="37" spans="1:22" x14ac:dyDescent="0.3">
      <c r="B37" s="32" t="s">
        <v>51</v>
      </c>
      <c r="C37" s="1" t="s">
        <v>57</v>
      </c>
      <c r="E37" s="4" t="s">
        <v>55</v>
      </c>
      <c r="F37" s="3" t="s">
        <v>66</v>
      </c>
      <c r="G37" s="27">
        <v>1</v>
      </c>
      <c r="H37" s="26">
        <v>1</v>
      </c>
      <c r="I37" s="26">
        <v>0</v>
      </c>
      <c r="J37" s="27">
        <v>32</v>
      </c>
      <c r="K37" s="27">
        <v>128</v>
      </c>
      <c r="L37" s="27">
        <v>1</v>
      </c>
      <c r="M37" s="29">
        <v>4</v>
      </c>
      <c r="N37" s="2" t="s">
        <v>22</v>
      </c>
      <c r="O37" s="2">
        <v>4</v>
      </c>
      <c r="P37" s="26">
        <f t="shared" si="6"/>
        <v>16</v>
      </c>
      <c r="Q37" s="27">
        <f t="shared" si="7"/>
        <v>32</v>
      </c>
      <c r="R37" s="26">
        <f t="shared" si="8"/>
        <v>128</v>
      </c>
      <c r="S37" s="27">
        <f t="shared" si="9"/>
        <v>32</v>
      </c>
      <c r="T37" s="27">
        <f t="shared" si="10"/>
        <v>128</v>
      </c>
      <c r="U37" s="44"/>
    </row>
    <row r="38" spans="1:22" x14ac:dyDescent="0.3">
      <c r="B38" s="32" t="s">
        <v>51</v>
      </c>
      <c r="C38" s="1" t="s">
        <v>57</v>
      </c>
      <c r="E38" s="4" t="s">
        <v>67</v>
      </c>
      <c r="F38" s="3" t="s">
        <v>68</v>
      </c>
      <c r="G38" s="27">
        <v>1</v>
      </c>
      <c r="H38" s="26">
        <v>1</v>
      </c>
      <c r="I38" s="26">
        <v>0</v>
      </c>
      <c r="J38" s="27">
        <v>16</v>
      </c>
      <c r="K38" s="27">
        <v>256</v>
      </c>
      <c r="L38" s="27">
        <v>1</v>
      </c>
      <c r="M38" s="29">
        <v>3</v>
      </c>
      <c r="N38" s="2" t="s">
        <v>22</v>
      </c>
      <c r="O38" s="2">
        <v>4</v>
      </c>
      <c r="P38" s="26">
        <f t="shared" si="6"/>
        <v>12</v>
      </c>
      <c r="Q38" s="27">
        <f t="shared" si="7"/>
        <v>16</v>
      </c>
      <c r="R38" s="26">
        <f t="shared" si="8"/>
        <v>256</v>
      </c>
      <c r="S38" s="27">
        <f t="shared" si="9"/>
        <v>16</v>
      </c>
      <c r="T38" s="27">
        <f t="shared" si="10"/>
        <v>256</v>
      </c>
      <c r="U38" s="44"/>
    </row>
    <row r="39" spans="1:22" ht="15" thickBot="1" x14ac:dyDescent="0.35">
      <c r="B39" s="32" t="s">
        <v>51</v>
      </c>
      <c r="C39" s="1" t="s">
        <v>57</v>
      </c>
      <c r="E39" s="1" t="s">
        <v>71</v>
      </c>
      <c r="F39" s="1" t="s">
        <v>70</v>
      </c>
      <c r="G39" s="27">
        <v>1</v>
      </c>
      <c r="H39" s="27">
        <v>1</v>
      </c>
      <c r="I39" s="26">
        <v>0</v>
      </c>
      <c r="J39" s="27">
        <v>64</v>
      </c>
      <c r="K39" s="27">
        <v>512</v>
      </c>
      <c r="L39" s="27">
        <v>1</v>
      </c>
      <c r="M39" s="29">
        <v>10</v>
      </c>
      <c r="N39" s="2" t="s">
        <v>22</v>
      </c>
      <c r="O39" s="2">
        <v>7</v>
      </c>
      <c r="P39" s="26">
        <v>70</v>
      </c>
      <c r="Q39" s="26"/>
      <c r="R39" s="26"/>
      <c r="S39" s="26"/>
      <c r="T39" s="26"/>
      <c r="U39" s="44"/>
    </row>
    <row r="40" spans="1:22" x14ac:dyDescent="0.3">
      <c r="B40" s="45"/>
      <c r="C40" s="46" t="s">
        <v>73</v>
      </c>
      <c r="D40" s="46"/>
      <c r="E40" s="46" t="s">
        <v>73</v>
      </c>
      <c r="F40" s="46" t="s">
        <v>73</v>
      </c>
      <c r="G40" s="47"/>
      <c r="H40" s="48">
        <f>SUM(H30:H38)</f>
        <v>11</v>
      </c>
      <c r="I40" s="47"/>
      <c r="J40" s="47"/>
      <c r="K40" s="47"/>
      <c r="L40" s="47"/>
      <c r="M40" s="49"/>
      <c r="N40" s="48"/>
      <c r="O40" s="48"/>
      <c r="P40" s="48">
        <f>SUM(P30:P38)</f>
        <v>88</v>
      </c>
      <c r="Q40" s="47"/>
      <c r="R40" s="50"/>
      <c r="S40" s="48">
        <f>SUM(S30:S38)</f>
        <v>248</v>
      </c>
      <c r="T40" s="48">
        <f>SUM(T30:T38)</f>
        <v>3328</v>
      </c>
      <c r="U40" s="47">
        <f>P40*H40</f>
        <v>968</v>
      </c>
      <c r="V40" s="55"/>
    </row>
    <row r="41" spans="1:22" ht="15" thickBot="1" x14ac:dyDescent="0.35">
      <c r="B41" s="28"/>
      <c r="G41" s="27"/>
      <c r="H41" s="26"/>
      <c r="I41" s="26"/>
      <c r="J41" s="27"/>
      <c r="K41" s="27"/>
      <c r="L41" s="27"/>
      <c r="M41" s="29"/>
      <c r="P41" s="26"/>
      <c r="Q41" s="36"/>
      <c r="R41" s="37"/>
      <c r="S41" s="36"/>
      <c r="T41" s="36"/>
      <c r="U41" s="44"/>
    </row>
    <row r="42" spans="1:22" ht="15" thickBot="1" x14ac:dyDescent="0.35">
      <c r="B42" s="38" t="s">
        <v>69</v>
      </c>
      <c r="C42" s="39"/>
      <c r="D42" s="40"/>
      <c r="E42" s="40"/>
      <c r="F42" s="41"/>
      <c r="G42" s="13"/>
      <c r="H42" s="42"/>
      <c r="I42" s="42"/>
      <c r="J42" s="13"/>
      <c r="K42" s="13"/>
      <c r="L42" s="13"/>
      <c r="M42" s="43"/>
      <c r="N42" s="40"/>
      <c r="O42" s="40"/>
      <c r="P42" s="42"/>
      <c r="Q42" s="42"/>
      <c r="R42" s="42"/>
      <c r="S42" s="42"/>
      <c r="T42" s="42"/>
      <c r="U42" s="53"/>
    </row>
    <row r="43" spans="1:22" x14ac:dyDescent="0.3">
      <c r="E43"/>
    </row>
    <row r="44" spans="1:22" x14ac:dyDescent="0.3">
      <c r="B44" s="2"/>
      <c r="E44"/>
    </row>
    <row r="45" spans="1:22" x14ac:dyDescent="0.3">
      <c r="B45" s="2"/>
      <c r="E45"/>
    </row>
    <row r="46" spans="1:22" x14ac:dyDescent="0.3">
      <c r="B46" s="2"/>
    </row>
    <row r="47" spans="1:22" ht="21.6" customHeight="1" x14ac:dyDescent="0.3">
      <c r="E47" s="4"/>
      <c r="G47" s="54"/>
      <c r="H47" s="54"/>
    </row>
    <row r="48" spans="1:22" x14ac:dyDescent="0.3">
      <c r="A48" s="2"/>
      <c r="B48" s="2"/>
      <c r="C48" s="2"/>
      <c r="E48" s="4"/>
      <c r="F48" s="4"/>
      <c r="G48" s="54"/>
    </row>
    <row r="49" spans="1:23" x14ac:dyDescent="0.3">
      <c r="A49" s="2"/>
      <c r="B49" s="2"/>
      <c r="C49" s="2"/>
      <c r="E49" s="4"/>
      <c r="F49" s="4"/>
    </row>
    <row r="50" spans="1:23" x14ac:dyDescent="0.3">
      <c r="A50" s="2"/>
      <c r="B50" s="2"/>
      <c r="C50" s="2"/>
    </row>
    <row r="51" spans="1:23" s="2" customFormat="1" x14ac:dyDescent="0.3">
      <c r="F51" s="3"/>
      <c r="U51"/>
      <c r="V51"/>
      <c r="W51"/>
    </row>
    <row r="52" spans="1:23" s="2" customFormat="1" x14ac:dyDescent="0.3">
      <c r="E52" s="4"/>
      <c r="F52" s="4"/>
      <c r="U52"/>
      <c r="V52"/>
      <c r="W52"/>
    </row>
    <row r="53" spans="1:23" x14ac:dyDescent="0.3">
      <c r="A53" s="2"/>
      <c r="B53" s="2"/>
      <c r="C53" s="2"/>
    </row>
    <row r="54" spans="1:23" s="2" customFormat="1" x14ac:dyDescent="0.3">
      <c r="F54" s="3"/>
      <c r="U54"/>
      <c r="V54"/>
      <c r="W54"/>
    </row>
    <row r="55" spans="1:23" s="2" customFormat="1" x14ac:dyDescent="0.3">
      <c r="F55" s="3"/>
      <c r="U55"/>
      <c r="V55"/>
      <c r="W55"/>
    </row>
    <row r="56" spans="1:23" s="2" customFormat="1" x14ac:dyDescent="0.3">
      <c r="A56" s="3"/>
      <c r="B56" s="3"/>
      <c r="C56" s="3"/>
      <c r="E56" s="4"/>
      <c r="F56" s="3"/>
      <c r="G56" s="54"/>
      <c r="H56" s="54"/>
      <c r="U56"/>
      <c r="V56"/>
      <c r="W56"/>
    </row>
    <row r="57" spans="1:23" s="2" customFormat="1" x14ac:dyDescent="0.3">
      <c r="A57" s="3"/>
      <c r="B57" s="3"/>
      <c r="C57" s="3"/>
      <c r="E57" s="4"/>
      <c r="F57" s="4"/>
      <c r="G57" s="54"/>
      <c r="U57"/>
      <c r="V57"/>
      <c r="W57"/>
    </row>
  </sheetData>
  <mergeCells count="8">
    <mergeCell ref="J2:P2"/>
    <mergeCell ref="Q2:U2"/>
    <mergeCell ref="G3:I3"/>
    <mergeCell ref="J3:J4"/>
    <mergeCell ref="K3:K4"/>
    <mergeCell ref="M3:P3"/>
    <mergeCell ref="Q3:R3"/>
    <mergeCell ref="S3:U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Virutal 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Tayyab Riaz</cp:lastModifiedBy>
  <dcterms:created xsi:type="dcterms:W3CDTF">2015-06-05T18:17:20Z</dcterms:created>
  <dcterms:modified xsi:type="dcterms:W3CDTF">2026-10-15T15:14:45Z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e60815-9fb2-493a-ac6b-8efff9eca9de_Enabled">
    <vt:lpwstr>true</vt:lpwstr>
  </property>
  <property fmtid="{D5CDD505-2E9C-101B-9397-08002B2CF9AE}" pid="3" name="MSIP_Label_d7e60815-9fb2-493a-ac6b-8efff9eca9de_SetDate">
    <vt:lpwstr>2026-10-14T12:33:29Z</vt:lpwstr>
  </property>
  <property fmtid="{D5CDD505-2E9C-101B-9397-08002B2CF9AE}" pid="4" name="MSIP_Label_d7e60815-9fb2-493a-ac6b-8efff9eca9de_Method">
    <vt:lpwstr>Standard</vt:lpwstr>
  </property>
  <property fmtid="{D5CDD505-2E9C-101B-9397-08002B2CF9AE}" pid="5" name="MSIP_Label_d7e60815-9fb2-493a-ac6b-8efff9eca9de_Name">
    <vt:lpwstr>defa4170-0d19-0005-0004-bc88714345d2</vt:lpwstr>
  </property>
  <property fmtid="{D5CDD505-2E9C-101B-9397-08002B2CF9AE}" pid="6" name="MSIP_Label_d7e60815-9fb2-493a-ac6b-8efff9eca9de_SiteId">
    <vt:lpwstr>79a24c0f-fa08-4600-adb8-887684689ed1</vt:lpwstr>
  </property>
  <property fmtid="{D5CDD505-2E9C-101B-9397-08002B2CF9AE}" pid="7" name="MSIP_Label_d7e60815-9fb2-493a-ac6b-8efff9eca9de_ActionId">
    <vt:lpwstr>85fb8411-d34a-4227-8c5c-bc5a0d4c0d0d</vt:lpwstr>
  </property>
  <property fmtid="{D5CDD505-2E9C-101B-9397-08002B2CF9AE}" pid="8" name="MSIP_Label_d7e60815-9fb2-493a-ac6b-8efff9eca9de_ContentBits">
    <vt:lpwstr>0</vt:lpwstr>
  </property>
  <property fmtid="{D5CDD505-2E9C-101B-9397-08002B2CF9AE}" pid="9" name="MSIP_Label_d7e60815-9fb2-493a-ac6b-8efff9eca9de_Tag">
    <vt:lpwstr>10, 3, 0, 1</vt:lpwstr>
  </property>
</Properties>
</file>